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nteverträge" sheetId="1" state="visible" r:id="rId3"/>
  </sheets>
  <definedNames>
    <definedName function="false" hidden="false" name="PathToMainFolder" vbProcedure="false">#REF!</definedName>
    <definedName function="false" hidden="false" name="PathToRohdaten" vbProcedure="false">#REF!</definedName>
    <definedName function="false" hidden="false" name="tbl_Ernteanteile" vbProcedure="false">pivottable6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interval="0" name="Abfrage - Beispieldatei (3)" description="Verbindung mit der Abfrage 'Beispieldatei (3)' in der Arbeitsmappe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Beispieldatei (3)&quot;;Extended Properties=&quot;&quot;" command="SELECT * FROM [Beispieldatei (3)]"/>
    <olapPr/>
  </connection>
  <connection id="2" xr16:uid="{00000000-0015-0000-FFFF-FFFF01000000}" keepAlive="1" interval="0" name="Abfrage - Beispieldatei transformieren (3)" description="Verbindung mit der Abfrage 'Beispieldatei transformieren (3)' in der Arbeitsmappe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Beispieldatei transformieren (3)&quot;;Extended Properties=&quot;&quot;" command="SELECT * FROM [Beispieldatei transformieren (3)]"/>
    <olapPr/>
  </connection>
  <connection id="3" xr16:uid="{00000000-0015-0000-FFFF-FFFF02000000}" keepAlive="1" interval="0" name="Abfrage - Datei transformieren (3)" description="Verbindung mit der Abfrage 'Datei transformieren (3)' in der Arbeitsmappe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Datei transformieren (3)&quot;;Extended Properties=&quot;&quot;" command="SELECT * FROM [Datei transformieren (3)]"/>
    <olapPr/>
  </connection>
  <connection id="4" xr16:uid="{00000000-0015-0000-FFFF-FFFF03000000}" keepAlive="1" interval="0" name="Abfrage - Import Beitritte NEU" description="Verbindung mit der Abfrage 'Import Beitritte NEU' in der Arbeitsmappe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&quot;Import Beitritte NEU&quot;;Extended Properties=&quot;&quot;" command="SELECT * FROM [Import Beitritte NEU]"/>
    <olapPr/>
  </connection>
  <connection id="5" xr16:uid="{00000000-0015-0000-FFFF-FFFF04000000}" keepAlive="1" interval="0" name="Abfrage - Import Ernteverträge NEU" description="Verbindung mit der Abfrage 'Import Ernteverträge NEU' in der Arbeitsmappe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&quot;Import Ernteverträge NEU&quot;;Extended Properties=&quot;&quot;" command="SELECT * FROM [Import Ernteverträge NEU]"/>
    <olapPr/>
  </connection>
  <connection id="6" xr16:uid="{00000000-0015-0000-FFFF-FFFF05000000}" keepAlive="1" interval="0" name="Abfrage - Mitgliederliste" description="Verbindung mit der Abfrage 'Mitgliederliste' in der Arbeitsmappe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Mitgliederliste;Extended Properties=&quot;&quot;" command="SELECT * FROM [Mitgliederliste]"/>
    <olapPr/>
  </connection>
  <connection id="7" xr16:uid="{00000000-0015-0000-FFFF-FFFF06000000}" keepAlive="1" interval="0" name="Abfrage - Parameter3" description="Verbindung mit der Abfrage 'Parameter3' in der Arbeitsmappe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Parameter3;Extended Properties=&quot;&quot;" command="SELECT * FROM [Parameter3]"/>
    <olapPr/>
  </connection>
  <connection id="8" xr16:uid="{00000000-0015-0000-FFFF-FFFF07000000}" keepAlive="1" interval="0" name="Abfrage - Rohdaten importieren und bereinigen" description="Verbindung mit der Abfrage 'Rohdaten importieren und bereinigen' in der Arbeitsmappe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Rohdaten importieren und bereinigen&quot;;Extended Properties=&quot;&quot;" command="SELECT * FROM [Rohdaten importieren und bereinigen]"/>
    <olapPr/>
  </connection>
  <connection id="9" xr16:uid="{00000000-0015-0000-FFFF-FFFF08000000}" keepAlive="1" interval="0" name="Abfrage - tbl_Ernteverträge" description="Verbindung mit der Abfrage 'tbl_Ernteverträge' in der Arbeitsmappe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tbl_Ernteverträge;Extended Properties=&quot;&quot;" command="SELECT * FROM [tbl_Ernteverträge]"/>
    <olapPr/>
  </connection>
  <connection id="10" xr16:uid="{00000000-0015-0000-FFFF-FFFF09000000}" keepAlive="1" interval="0" name="Abfrage - tbl_Warteliste_Ernteverträge" description="Verbindung mit der Abfrage 'tbl_Warteliste_Ernteverträge' in der Arbeitsmappe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tbl_Warteliste_Ernteverträge;Extended Properties=&quot;&quot;" command="SELECT * FROM [tbl_Warteliste_Ernteverträge]"/>
    <olapPr/>
  </connection>
</connections>
</file>

<file path=xl/sharedStrings.xml><?xml version="1.0" encoding="utf-8"?>
<sst xmlns="http://schemas.openxmlformats.org/spreadsheetml/2006/main" count="1416" uniqueCount="334">
  <si>
    <t xml:space="preserve">Erntevertrag-Nr.</t>
  </si>
  <si>
    <t xml:space="preserve">Mitglieds-Nr.</t>
  </si>
  <si>
    <t xml:space="preserve">Name - Nachname</t>
  </si>
  <si>
    <t xml:space="preserve">Name - Vorname</t>
  </si>
  <si>
    <t xml:space="preserve">E-Mail.1</t>
  </si>
  <si>
    <t xml:space="preserve">Anzahl Ernteanteile</t>
  </si>
  <si>
    <t xml:space="preserve">Anzahl kleine Ernteanteile</t>
  </si>
  <si>
    <t xml:space="preserve">Currency</t>
  </si>
  <si>
    <t xml:space="preserve">Currency_4</t>
  </si>
  <si>
    <t xml:space="preserve">Radio_5</t>
  </si>
  <si>
    <t xml:space="preserve">Ort</t>
  </si>
  <si>
    <t xml:space="preserve">IBAN</t>
  </si>
  <si>
    <t xml:space="preserve">Name Kontoinhaberin</t>
  </si>
  <si>
    <t xml:space="preserve">Datum Mandatsunterschrift</t>
  </si>
  <si>
    <t xml:space="preserve">Absendezeitpunkt</t>
  </si>
  <si>
    <t xml:space="preserve">Abholpunkt</t>
  </si>
  <si>
    <t xml:space="preserve">Erste Lieferung</t>
  </si>
  <si>
    <t xml:space="preserve">Erste Abbuchung</t>
  </si>
  <si>
    <t xml:space="preserve">Letzte Lieferung</t>
  </si>
  <si>
    <t xml:space="preserve">Status</t>
  </si>
  <si>
    <t xml:space="preserve">Änderungen</t>
  </si>
  <si>
    <t xml:space="preserve">EV-0156</t>
  </si>
  <si>
    <t xml:space="preserve">0156</t>
  </si>
  <si>
    <t xml:space="preserve">Duck</t>
  </si>
  <si>
    <t xml:space="preserve">Donald</t>
  </si>
  <si>
    <t xml:space="preserve">-</t>
  </si>
  <si>
    <t xml:space="preserve">Gerlingen</t>
  </si>
  <si>
    <t xml:space="preserve">EV-0149</t>
  </si>
  <si>
    <t xml:space="preserve">0149</t>
  </si>
  <si>
    <t xml:space="preserve">Phantomias</t>
  </si>
  <si>
    <t xml:space="preserve">Perouse</t>
  </si>
  <si>
    <t xml:space="preserve">EV-0045</t>
  </si>
  <si>
    <t xml:space="preserve">0045</t>
  </si>
  <si>
    <t xml:space="preserve">DoppelDuck</t>
  </si>
  <si>
    <t xml:space="preserve">Agent</t>
  </si>
  <si>
    <t xml:space="preserve">Leonberg</t>
  </si>
  <si>
    <t xml:space="preserve">EV-0125</t>
  </si>
  <si>
    <t xml:space="preserve">0125</t>
  </si>
  <si>
    <t xml:space="preserve">Tick</t>
  </si>
  <si>
    <t xml:space="preserve">Renningen</t>
  </si>
  <si>
    <t xml:space="preserve">EV-0163</t>
  </si>
  <si>
    <t xml:space="preserve">0163</t>
  </si>
  <si>
    <t xml:space="preserve">Trick</t>
  </si>
  <si>
    <t xml:space="preserve">Weil der Stadt</t>
  </si>
  <si>
    <t xml:space="preserve">EV-0010</t>
  </si>
  <si>
    <t xml:space="preserve">0010</t>
  </si>
  <si>
    <t xml:space="preserve">Track</t>
  </si>
  <si>
    <t xml:space="preserve">Neuhausen</t>
  </si>
  <si>
    <t xml:space="preserve">EV-0140</t>
  </si>
  <si>
    <t xml:space="preserve">0140</t>
  </si>
  <si>
    <t xml:space="preserve">Dagobert</t>
  </si>
  <si>
    <t xml:space="preserve">EV-0012</t>
  </si>
  <si>
    <t xml:space="preserve">0012</t>
  </si>
  <si>
    <t xml:space="preserve">Daisy</t>
  </si>
  <si>
    <t xml:space="preserve">EV-0013</t>
  </si>
  <si>
    <t xml:space="preserve">0013</t>
  </si>
  <si>
    <t xml:space="preserve">Donna</t>
  </si>
  <si>
    <t xml:space="preserve">EV-0016</t>
  </si>
  <si>
    <t xml:space="preserve">0016</t>
  </si>
  <si>
    <t xml:space="preserve">Dicky</t>
  </si>
  <si>
    <t xml:space="preserve">EV-0108</t>
  </si>
  <si>
    <t xml:space="preserve">0108</t>
  </si>
  <si>
    <t xml:space="preserve">Dacky</t>
  </si>
  <si>
    <t xml:space="preserve">EV-0018-1</t>
  </si>
  <si>
    <t xml:space="preserve">0018</t>
  </si>
  <si>
    <t xml:space="preserve">Ducky</t>
  </si>
  <si>
    <t xml:space="preserve">EV-0020</t>
  </si>
  <si>
    <t xml:space="preserve">0020</t>
  </si>
  <si>
    <t xml:space="preserve">Gans</t>
  </si>
  <si>
    <t xml:space="preserve">Gustav</t>
  </si>
  <si>
    <t xml:space="preserve">EV-0022</t>
  </si>
  <si>
    <t xml:space="preserve">0022</t>
  </si>
  <si>
    <t xml:space="preserve">Golo</t>
  </si>
  <si>
    <t xml:space="preserve">EV-0023</t>
  </si>
  <si>
    <t xml:space="preserve">0023</t>
  </si>
  <si>
    <t xml:space="preserve">Dorette</t>
  </si>
  <si>
    <t xml:space="preserve">EV-0124</t>
  </si>
  <si>
    <t xml:space="preserve">0124</t>
  </si>
  <si>
    <t xml:space="preserve">Franz</t>
  </si>
  <si>
    <t xml:space="preserve">EV-0025</t>
  </si>
  <si>
    <t xml:space="preserve">0025</t>
  </si>
  <si>
    <t xml:space="preserve">Fränzchen</t>
  </si>
  <si>
    <t xml:space="preserve">EV-0027</t>
  </si>
  <si>
    <t xml:space="preserve">0027</t>
  </si>
  <si>
    <t xml:space="preserve">von Quack</t>
  </si>
  <si>
    <t xml:space="preserve">Primus</t>
  </si>
  <si>
    <t xml:space="preserve">EV-0166</t>
  </si>
  <si>
    <t xml:space="preserve">0166</t>
  </si>
  <si>
    <t xml:space="preserve">Dussel</t>
  </si>
  <si>
    <t xml:space="preserve">EV-0031</t>
  </si>
  <si>
    <t xml:space="preserve">0031</t>
  </si>
  <si>
    <t xml:space="preserve">Didi</t>
  </si>
  <si>
    <t xml:space="preserve">EV-0032, EV-0032-1</t>
  </si>
  <si>
    <t xml:space="preserve">0032</t>
  </si>
  <si>
    <t xml:space="preserve">Düsentrieb</t>
  </si>
  <si>
    <t xml:space="preserve">Daniel</t>
  </si>
  <si>
    <t xml:space="preserve">EV-0024</t>
  </si>
  <si>
    <t xml:space="preserve">0024</t>
  </si>
  <si>
    <t xml:space="preserve">Dieter</t>
  </si>
  <si>
    <t xml:space="preserve">EV-0044</t>
  </si>
  <si>
    <t xml:space="preserve">0044</t>
  </si>
  <si>
    <t xml:space="preserve">Bolivar</t>
  </si>
  <si>
    <t xml:space="preserve">EV-0039</t>
  </si>
  <si>
    <t xml:space="preserve">0039</t>
  </si>
  <si>
    <t xml:space="preserve">Schnurri</t>
  </si>
  <si>
    <t xml:space="preserve">EV-0040</t>
  </si>
  <si>
    <t xml:space="preserve">0040</t>
  </si>
  <si>
    <t xml:space="preserve">Della</t>
  </si>
  <si>
    <t xml:space="preserve">EV-0042</t>
  </si>
  <si>
    <t xml:space="preserve">0042</t>
  </si>
  <si>
    <t xml:space="preserve">Wastel</t>
  </si>
  <si>
    <t xml:space="preserve">EV-0049</t>
  </si>
  <si>
    <t xml:space="preserve">0049</t>
  </si>
  <si>
    <t xml:space="preserve">Moneysac</t>
  </si>
  <si>
    <t xml:space="preserve">Mac</t>
  </si>
  <si>
    <t xml:space="preserve">EV-0008</t>
  </si>
  <si>
    <t xml:space="preserve">0008</t>
  </si>
  <si>
    <t xml:space="preserve">Klever</t>
  </si>
  <si>
    <t xml:space="preserve">Klaas</t>
  </si>
  <si>
    <t xml:space="preserve">EV-0171</t>
  </si>
  <si>
    <t xml:space="preserve">0171</t>
  </si>
  <si>
    <t xml:space="preserve">Panzerknacker</t>
  </si>
  <si>
    <t xml:space="preserve">EV-0144</t>
  </si>
  <si>
    <t xml:space="preserve">0144</t>
  </si>
  <si>
    <t xml:space="preserve">Gaukeley</t>
  </si>
  <si>
    <t xml:space="preserve">Gundel</t>
  </si>
  <si>
    <t xml:space="preserve">EV-0101</t>
  </si>
  <si>
    <t xml:space="preserve">0101</t>
  </si>
  <si>
    <t xml:space="preserve">Nimmermehr</t>
  </si>
  <si>
    <t xml:space="preserve">EV-0051</t>
  </si>
  <si>
    <t xml:space="preserve">0051</t>
  </si>
  <si>
    <t xml:space="preserve">Pokus</t>
  </si>
  <si>
    <t xml:space="preserve">Hokus</t>
  </si>
  <si>
    <t xml:space="preserve">EV-0134</t>
  </si>
  <si>
    <t xml:space="preserve">0134</t>
  </si>
  <si>
    <t xml:space="preserve">Menetekel</t>
  </si>
  <si>
    <t xml:space="preserve">Mona</t>
  </si>
  <si>
    <t xml:space="preserve">EV-0053</t>
  </si>
  <si>
    <t xml:space="preserve">0053</t>
  </si>
  <si>
    <t xml:space="preserve">Gaukeleys</t>
  </si>
  <si>
    <t xml:space="preserve">EV-0048</t>
  </si>
  <si>
    <t xml:space="preserve">0048</t>
  </si>
  <si>
    <t xml:space="preserve">Mim</t>
  </si>
  <si>
    <t xml:space="preserve">Madame</t>
  </si>
  <si>
    <t xml:space="preserve">EV-0055</t>
  </si>
  <si>
    <t xml:space="preserve">0055</t>
  </si>
  <si>
    <t xml:space="preserve">Habicht</t>
  </si>
  <si>
    <t xml:space="preserve">Hugo</t>
  </si>
  <si>
    <t xml:space="preserve">EV-0109</t>
  </si>
  <si>
    <t xml:space="preserve">0109</t>
  </si>
  <si>
    <t xml:space="preserve">Zorngiebel</t>
  </si>
  <si>
    <t xml:space="preserve">Zacharias</t>
  </si>
  <si>
    <t xml:space="preserve">EV-0148</t>
  </si>
  <si>
    <t xml:space="preserve">0148</t>
  </si>
  <si>
    <t xml:space="preserve">Zanker</t>
  </si>
  <si>
    <t xml:space="preserve">EV-0128</t>
  </si>
  <si>
    <t xml:space="preserve">0128</t>
  </si>
  <si>
    <t xml:space="preserve">Schurigel</t>
  </si>
  <si>
    <t xml:space="preserve">Rupert</t>
  </si>
  <si>
    <t xml:space="preserve">EV-0104</t>
  </si>
  <si>
    <t xml:space="preserve">0104</t>
  </si>
  <si>
    <t xml:space="preserve">Baptist</t>
  </si>
  <si>
    <t xml:space="preserve">EV-0105</t>
  </si>
  <si>
    <t xml:space="preserve">0105</t>
  </si>
  <si>
    <t xml:space="preserve">Johann</t>
  </si>
  <si>
    <t xml:space="preserve">EV-0106</t>
  </si>
  <si>
    <t xml:space="preserve">0106</t>
  </si>
  <si>
    <t xml:space="preserve">Rührig</t>
  </si>
  <si>
    <t xml:space="preserve">Fräulein</t>
  </si>
  <si>
    <t xml:space="preserve">EV-0107</t>
  </si>
  <si>
    <t xml:space="preserve">0107</t>
  </si>
  <si>
    <t xml:space="preserve">Frieda</t>
  </si>
  <si>
    <t xml:space="preserve">EV-0057</t>
  </si>
  <si>
    <t xml:space="preserve">0057</t>
  </si>
  <si>
    <t xml:space="preserve">Nicky</t>
  </si>
  <si>
    <t xml:space="preserve">EV-0134-1</t>
  </si>
  <si>
    <t xml:space="preserve">EV-0005</t>
  </si>
  <si>
    <t xml:space="preserve">0005</t>
  </si>
  <si>
    <t xml:space="preserve">Helferlein</t>
  </si>
  <si>
    <t xml:space="preserve">EV-0111</t>
  </si>
  <si>
    <t xml:space="preserve">0111</t>
  </si>
  <si>
    <t xml:space="preserve">Gitta</t>
  </si>
  <si>
    <t xml:space="preserve">EV-0116</t>
  </si>
  <si>
    <t xml:space="preserve">0116</t>
  </si>
  <si>
    <t xml:space="preserve">Knäul</t>
  </si>
  <si>
    <t xml:space="preserve">Kuno</t>
  </si>
  <si>
    <t xml:space="preserve">EV-0115</t>
  </si>
  <si>
    <t xml:space="preserve">0115</t>
  </si>
  <si>
    <t xml:space="preserve">Schlamassi</t>
  </si>
  <si>
    <t xml:space="preserve">Sergei</t>
  </si>
  <si>
    <t xml:space="preserve">EV-0174-1</t>
  </si>
  <si>
    <t xml:space="preserve">0174</t>
  </si>
  <si>
    <t xml:space="preserve">Habakuk</t>
  </si>
  <si>
    <t xml:space="preserve">EV-0117</t>
  </si>
  <si>
    <t xml:space="preserve">0117</t>
  </si>
  <si>
    <t xml:space="preserve">Truz</t>
  </si>
  <si>
    <t xml:space="preserve">EV-0119</t>
  </si>
  <si>
    <t xml:space="preserve">0119</t>
  </si>
  <si>
    <t xml:space="preserve">Moby</t>
  </si>
  <si>
    <t xml:space="preserve">EV-0152</t>
  </si>
  <si>
    <t xml:space="preserve">0152</t>
  </si>
  <si>
    <t xml:space="preserve">Doofy</t>
  </si>
  <si>
    <t xml:space="preserve">EV-0141</t>
  </si>
  <si>
    <t xml:space="preserve">0141</t>
  </si>
  <si>
    <t xml:space="preserve">Tümmi</t>
  </si>
  <si>
    <t xml:space="preserve">EV-0137</t>
  </si>
  <si>
    <t xml:space="preserve">0137</t>
  </si>
  <si>
    <t xml:space="preserve">Bürgermeister</t>
  </si>
  <si>
    <t xml:space="preserve">EV-0003</t>
  </si>
  <si>
    <t xml:space="preserve">0003</t>
  </si>
  <si>
    <t xml:space="preserve">Pig</t>
  </si>
  <si>
    <t xml:space="preserve">Peter</t>
  </si>
  <si>
    <t xml:space="preserve">EV-0126</t>
  </si>
  <si>
    <t xml:space="preserve">0126</t>
  </si>
  <si>
    <t xml:space="preserve">Quack</t>
  </si>
  <si>
    <t xml:space="preserve">EV-0127</t>
  </si>
  <si>
    <t xml:space="preserve">0127</t>
  </si>
  <si>
    <t xml:space="preserve">EV-0129</t>
  </si>
  <si>
    <t xml:space="preserve">0129</t>
  </si>
  <si>
    <t xml:space="preserve">Pistoles</t>
  </si>
  <si>
    <t xml:space="preserve">Panchito</t>
  </si>
  <si>
    <t xml:space="preserve">EV-0186</t>
  </si>
  <si>
    <t xml:space="preserve">0186</t>
  </si>
  <si>
    <t xml:space="preserve">Carioca</t>
  </si>
  <si>
    <t xml:space="preserve">José</t>
  </si>
  <si>
    <t xml:space="preserve">EV-0131</t>
  </si>
  <si>
    <t xml:space="preserve">0131</t>
  </si>
  <si>
    <t xml:space="preserve">Oona</t>
  </si>
  <si>
    <t xml:space="preserve">EV-0139</t>
  </si>
  <si>
    <t xml:space="preserve">0139</t>
  </si>
  <si>
    <t xml:space="preserve">Streunecke</t>
  </si>
  <si>
    <t xml:space="preserve">Striezel</t>
  </si>
  <si>
    <t xml:space="preserve">EV-0120</t>
  </si>
  <si>
    <t xml:space="preserve">0187</t>
  </si>
  <si>
    <t xml:space="preserve">Spitzkriegler</t>
  </si>
  <si>
    <t xml:space="preserve">Streckenwärter</t>
  </si>
  <si>
    <t xml:space="preserve">EV-0056</t>
  </si>
  <si>
    <t xml:space="preserve">0056</t>
  </si>
  <si>
    <t xml:space="preserve">Bubba</t>
  </si>
  <si>
    <t xml:space="preserve">EV-0135</t>
  </si>
  <si>
    <t xml:space="preserve">0135</t>
  </si>
  <si>
    <t xml:space="preserve">Erpel</t>
  </si>
  <si>
    <t xml:space="preserve">Emil</t>
  </si>
  <si>
    <t xml:space="preserve">EV-0058</t>
  </si>
  <si>
    <t xml:space="preserve">0058</t>
  </si>
  <si>
    <t xml:space="preserve">A-Hörnchen</t>
  </si>
  <si>
    <t xml:space="preserve">EV-0177</t>
  </si>
  <si>
    <t xml:space="preserve">0177</t>
  </si>
  <si>
    <t xml:space="preserve">B-Hörnchen</t>
  </si>
  <si>
    <t xml:space="preserve">EV-0054</t>
  </si>
  <si>
    <t xml:space="preserve">0054</t>
  </si>
  <si>
    <t xml:space="preserve">Huhn</t>
  </si>
  <si>
    <t xml:space="preserve">Henriette</t>
  </si>
  <si>
    <t xml:space="preserve">EV-0138</t>
  </si>
  <si>
    <t xml:space="preserve">0138</t>
  </si>
  <si>
    <t xml:space="preserve">Bogart</t>
  </si>
  <si>
    <t xml:space="preserve">Hubert</t>
  </si>
  <si>
    <t xml:space="preserve">EV-0147</t>
  </si>
  <si>
    <t xml:space="preserve">0147</t>
  </si>
  <si>
    <t xml:space="preserve">Quacky</t>
  </si>
  <si>
    <t xml:space="preserve">EV-0011</t>
  </si>
  <si>
    <t xml:space="preserve">0011</t>
  </si>
  <si>
    <t xml:space="preserve">Dolly</t>
  </si>
  <si>
    <t xml:space="preserve">EV-0145</t>
  </si>
  <si>
    <t xml:space="preserve">0145</t>
  </si>
  <si>
    <t xml:space="preserve">Nelly</t>
  </si>
  <si>
    <t xml:space="preserve">EV-0133</t>
  </si>
  <si>
    <t xml:space="preserve">0133</t>
  </si>
  <si>
    <t xml:space="preserve">Schofel</t>
  </si>
  <si>
    <t xml:space="preserve">Shandy</t>
  </si>
  <si>
    <t xml:space="preserve">EV-0029</t>
  </si>
  <si>
    <t xml:space="preserve">0029</t>
  </si>
  <si>
    <t xml:space="preserve">Dummy</t>
  </si>
  <si>
    <t xml:space="preserve">EV-0142</t>
  </si>
  <si>
    <t xml:space="preserve">0142</t>
  </si>
  <si>
    <t xml:space="preserve">Dettmar</t>
  </si>
  <si>
    <t xml:space="preserve">EV-0006</t>
  </si>
  <si>
    <t xml:space="preserve">0006</t>
  </si>
  <si>
    <t xml:space="preserve">Crackshell</t>
  </si>
  <si>
    <t xml:space="preserve">Fenton</t>
  </si>
  <si>
    <t xml:space="preserve">EV-0191</t>
  </si>
  <si>
    <t xml:space="preserve">0191</t>
  </si>
  <si>
    <t xml:space="preserve">Ente</t>
  </si>
  <si>
    <t xml:space="preserve">Krachbumm</t>
  </si>
  <si>
    <t xml:space="preserve">EV-0121</t>
  </si>
  <si>
    <t xml:space="preserve">0121</t>
  </si>
  <si>
    <t xml:space="preserve">Mama</t>
  </si>
  <si>
    <t xml:space="preserve">EV-0150</t>
  </si>
  <si>
    <t xml:space="preserve">0150</t>
  </si>
  <si>
    <t xml:space="preserve">Dietram</t>
  </si>
  <si>
    <t xml:space="preserve">EV-0153</t>
  </si>
  <si>
    <t xml:space="preserve">0153</t>
  </si>
  <si>
    <t xml:space="preserve">Gollersberg</t>
  </si>
  <si>
    <t xml:space="preserve">Graf</t>
  </si>
  <si>
    <t xml:space="preserve">EV-0018</t>
  </si>
  <si>
    <t xml:space="preserve">Ganter</t>
  </si>
  <si>
    <t xml:space="preserve">Gero</t>
  </si>
  <si>
    <t xml:space="preserve">EV-0146</t>
  </si>
  <si>
    <t xml:space="preserve">0146</t>
  </si>
  <si>
    <t xml:space="preserve">Schmutzgeier</t>
  </si>
  <si>
    <t xml:space="preserve">EV-0154</t>
  </si>
  <si>
    <t xml:space="preserve">0154</t>
  </si>
  <si>
    <t xml:space="preserve">Spectaculus</t>
  </si>
  <si>
    <t xml:space="preserve">Lucius</t>
  </si>
  <si>
    <t xml:space="preserve">EV-0046</t>
  </si>
  <si>
    <t xml:space="preserve">0046</t>
  </si>
  <si>
    <t xml:space="preserve">Zavolta</t>
  </si>
  <si>
    <t xml:space="preserve">EV-0157</t>
  </si>
  <si>
    <t xml:space="preserve">0157</t>
  </si>
  <si>
    <t xml:space="preserve">Billy</t>
  </si>
  <si>
    <t xml:space="preserve">Bubble</t>
  </si>
  <si>
    <t xml:space="preserve">EV-0158</t>
  </si>
  <si>
    <t xml:space="preserve">0158</t>
  </si>
  <si>
    <t xml:space="preserve">Zahltag</t>
  </si>
  <si>
    <t xml:space="preserve">EV-0160</t>
  </si>
  <si>
    <t xml:space="preserve">0160</t>
  </si>
  <si>
    <t xml:space="preserve">Oberwaldmeister</t>
  </si>
  <si>
    <t xml:space="preserve">EV-0155</t>
  </si>
  <si>
    <t xml:space="preserve">0155</t>
  </si>
  <si>
    <t xml:space="preserve">Spurobold</t>
  </si>
  <si>
    <t xml:space="preserve">EV-0161</t>
  </si>
  <si>
    <t xml:space="preserve">0161</t>
  </si>
  <si>
    <t xml:space="preserve">Durchblick</t>
  </si>
  <si>
    <t xml:space="preserve">EV-0123</t>
  </si>
  <si>
    <t xml:space="preserve">0123</t>
  </si>
  <si>
    <t xml:space="preserve">Zwill-Brüder</t>
  </si>
  <si>
    <t xml:space="preserve">0777</t>
  </si>
  <si>
    <t xml:space="preserve">Heck-Meck</t>
  </si>
  <si>
    <t xml:space="preserve">Doktor</t>
  </si>
  <si>
    <t xml:space="preserve">0888</t>
  </si>
  <si>
    <t xml:space="preserve">Magowitz</t>
  </si>
  <si>
    <t xml:space="preserve">0999</t>
  </si>
  <si>
    <t xml:space="preserve">Borstinger</t>
  </si>
  <si>
    <t xml:space="preserve">gelöscht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</si>
</sst>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Open Sans"/>
      <family val="2"/>
      <charset val="1"/>
    </font>
    <font>
      <b val="true"/>
      <sz val="11"/>
      <color theme="0"/>
      <name val="Open Sans"/>
      <family val="2"/>
      <charset val="1"/>
    </font>
    <font>
      <sz val="11"/>
      <color theme="1"/>
      <name val="Open San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8F2A1"/>
        <bgColor rgb="FFFFE994"/>
      </patternFill>
    </fill>
    <fill>
      <patternFill patternType="solid">
        <fgColor rgb="FFDEDCE6"/>
        <bgColor rgb="FFDEE6EF"/>
      </patternFill>
    </fill>
    <fill>
      <patternFill patternType="solid">
        <fgColor rgb="FFFFD7D7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DEE7E5"/>
        <bgColor rgb="FFDEE6EF"/>
      </patternFill>
    </fill>
    <fill>
      <patternFill patternType="solid">
        <fgColor rgb="FFFFE994"/>
        <bgColor rgb="FFE8F2A1"/>
      </patternFill>
    </fill>
    <fill>
      <patternFill patternType="solid">
        <fgColor rgb="FFDEE6EF"/>
        <bgColor rgb="FFDEE7E5"/>
      </patternFill>
    </fill>
    <fill>
      <patternFill patternType="solid">
        <fgColor rgb="FFFFFFFF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14">
    <dxf>
      <fill>
        <patternFill patternType="solid">
          <fgColor rgb="FFDEE7E5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E99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D7D7"/>
      <rgbColor rgb="FF808080"/>
      <rgbColor rgb="FF9999FF"/>
      <rgbColor rgb="FF993366"/>
      <rgbColor rgb="FFFFE994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E8F2A1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bl_Ernteverträge" displayName="tbl_Ernteverträge" ref="A1:U97" headerRowCount="1" totalsRowCount="0" totalsRowShown="0">
  <autoFilter ref="A1:U97"/>
  <tableColumns count="21">
    <tableColumn id="1" name="Erntevertrag-Nr."/>
    <tableColumn id="2" name="Mitglieds-Nr."/>
    <tableColumn id="3" name="Name - Nachname"/>
    <tableColumn id="4" name="Name - Vorname"/>
    <tableColumn id="5" name="E-Mail.1"/>
    <tableColumn id="6" name="Anzahl Ernteanteile"/>
    <tableColumn id="7" name="Anzahl kleine Ernteanteile"/>
    <tableColumn id="8" name="Currency"/>
    <tableColumn id="9" name="Currency_4"/>
    <tableColumn id="10" name="Radio_5"/>
    <tableColumn id="11" name="Ort"/>
    <tableColumn id="12" name="IBAN"/>
    <tableColumn id="13" name="Name Kontoinhaberin"/>
    <tableColumn id="14" name="Datum Mandatsunterschrift"/>
    <tableColumn id="15" name="Absendezeitpunkt"/>
    <tableColumn id="16" name="Abholpunkt"/>
    <tableColumn id="17" name="Erste Lieferung"/>
    <tableColumn id="18" name="Erste Abbuchung"/>
    <tableColumn id="19" name="Letzte Lieferung"/>
    <tableColumn id="20" name="Status"/>
    <tableColumn id="21" name="Änderungen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15" activeCellId="0" sqref="F15:G16"/>
    </sheetView>
  </sheetViews>
  <sheetFormatPr defaultColWidth="10.5703125" defaultRowHeight="15" customHeight="true" zeroHeight="false" outlineLevelRow="0" outlineLevelCol="2"/>
  <cols>
    <col collapsed="false" customWidth="true" hidden="false" outlineLevel="0" max="1" min="1" style="1" width="21.79"/>
    <col collapsed="false" customWidth="true" hidden="false" outlineLevel="0" max="2" min="2" style="2" width="11.24"/>
    <col collapsed="false" customWidth="true" hidden="false" outlineLevel="0" max="3" min="3" style="1" width="17.04"/>
    <col collapsed="false" customWidth="true" hidden="false" outlineLevel="0" max="4" min="4" style="1" width="16.46"/>
    <col collapsed="false" customWidth="true" hidden="false" outlineLevel="0" max="5" min="5" style="3" width="6.25"/>
    <col collapsed="false" customWidth="true" hidden="false" outlineLevel="0" max="6" min="6" style="1" width="8.34"/>
    <col collapsed="false" customWidth="true" hidden="false" outlineLevel="0" max="7" min="7" style="3" width="9.62"/>
    <col collapsed="false" customWidth="true" hidden="false" outlineLevel="1" max="8" min="8" style="3" width="6.96"/>
    <col collapsed="false" customWidth="true" hidden="false" outlineLevel="2" max="9" min="9" style="3" width="6.96"/>
    <col collapsed="false" customWidth="true" hidden="false" outlineLevel="0" max="10" min="10" style="3" width="7.76"/>
    <col collapsed="false" customWidth="true" hidden="false" outlineLevel="1" max="11" min="11" style="3" width="7.07"/>
    <col collapsed="false" customWidth="true" hidden="false" outlineLevel="1" max="12" min="12" style="3" width="6.37"/>
    <col collapsed="false" customWidth="true" hidden="false" outlineLevel="1" max="13" min="13" style="3" width="6.14"/>
    <col collapsed="false" customWidth="true" hidden="false" outlineLevel="1" max="14" min="14" style="3" width="6.72"/>
    <col collapsed="false" customWidth="true" hidden="false" outlineLevel="1" max="15" min="15" style="3" width="5.66"/>
    <col collapsed="false" customWidth="true" hidden="false" outlineLevel="1" max="16" min="16" style="1" width="16.69"/>
    <col collapsed="false" customWidth="true" hidden="false" outlineLevel="0" max="17" min="17" style="1" width="14.25"/>
    <col collapsed="false" customWidth="true" hidden="false" outlineLevel="0" max="18" min="18" style="3" width="7.07"/>
    <col collapsed="false" customWidth="true" hidden="false" outlineLevel="0" max="19" min="19" style="1" width="13.22"/>
    <col collapsed="false" customWidth="true" hidden="false" outlineLevel="0" max="21" min="21" style="1" width="50.42"/>
    <col collapsed="false" customWidth="true" hidden="false" outlineLevel="0" max="22" min="22" style="1" width="11.57"/>
  </cols>
  <sheetData>
    <row r="1" customFormat="false" ht="16.15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</row>
    <row r="2" customFormat="false" ht="16.15" hidden="false" customHeight="false" outlineLevel="0" collapsed="false">
      <c r="A2" s="4" t="s">
        <v>21</v>
      </c>
      <c r="B2" s="5" t="s">
        <v>22</v>
      </c>
      <c r="C2" s="9" t="s">
        <v>23</v>
      </c>
      <c r="D2" s="9" t="s">
        <v>24</v>
      </c>
      <c r="E2" s="6" t="s">
        <v>25</v>
      </c>
      <c r="F2" s="10" t="n">
        <v>1</v>
      </c>
      <c r="G2" s="6" t="n">
        <v>0</v>
      </c>
      <c r="H2" s="6" t="s">
        <v>25</v>
      </c>
      <c r="I2" s="6" t="s">
        <v>25</v>
      </c>
      <c r="J2" s="6" t="s">
        <v>25</v>
      </c>
      <c r="K2" s="6" t="s">
        <v>25</v>
      </c>
      <c r="L2" s="6" t="s">
        <v>25</v>
      </c>
      <c r="M2" s="6" t="s">
        <v>25</v>
      </c>
      <c r="N2" s="6" t="s">
        <v>25</v>
      </c>
      <c r="O2" s="6" t="s">
        <v>25</v>
      </c>
      <c r="P2" s="11" t="s">
        <v>26</v>
      </c>
      <c r="Q2" s="11" t="n">
        <v>43831</v>
      </c>
      <c r="R2" s="6" t="s">
        <v>25</v>
      </c>
      <c r="S2" s="11" t="n">
        <v>45292</v>
      </c>
      <c r="T2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2" s="11"/>
    </row>
    <row r="3" customFormat="false" ht="16.15" hidden="false" customHeight="false" outlineLevel="0" collapsed="false">
      <c r="A3" s="4" t="s">
        <v>27</v>
      </c>
      <c r="B3" s="5" t="s">
        <v>28</v>
      </c>
      <c r="C3" s="9" t="s">
        <v>29</v>
      </c>
      <c r="D3" s="9" t="s">
        <v>29</v>
      </c>
      <c r="E3" s="6" t="s">
        <v>25</v>
      </c>
      <c r="F3" s="10" t="n">
        <v>1</v>
      </c>
      <c r="G3" s="6" t="n">
        <v>0</v>
      </c>
      <c r="H3" s="6" t="s">
        <v>25</v>
      </c>
      <c r="I3" s="6" t="s">
        <v>25</v>
      </c>
      <c r="J3" s="6" t="s">
        <v>25</v>
      </c>
      <c r="K3" s="6" t="s">
        <v>25</v>
      </c>
      <c r="L3" s="6" t="s">
        <v>25</v>
      </c>
      <c r="M3" s="6" t="s">
        <v>25</v>
      </c>
      <c r="N3" s="6" t="s">
        <v>25</v>
      </c>
      <c r="O3" s="6" t="s">
        <v>25</v>
      </c>
      <c r="P3" s="11" t="s">
        <v>30</v>
      </c>
      <c r="Q3" s="11" t="n">
        <v>43831</v>
      </c>
      <c r="R3" s="6" t="s">
        <v>25</v>
      </c>
      <c r="S3" s="11" t="n">
        <v>45292</v>
      </c>
      <c r="T3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3" s="11"/>
    </row>
    <row r="4" customFormat="false" ht="16.15" hidden="false" customHeight="false" outlineLevel="0" collapsed="false">
      <c r="A4" s="4" t="s">
        <v>31</v>
      </c>
      <c r="B4" s="5" t="s">
        <v>32</v>
      </c>
      <c r="C4" s="9" t="s">
        <v>33</v>
      </c>
      <c r="D4" s="9" t="s">
        <v>34</v>
      </c>
      <c r="E4" s="6" t="s">
        <v>25</v>
      </c>
      <c r="F4" s="10" t="n">
        <v>1</v>
      </c>
      <c r="G4" s="6" t="n">
        <v>0</v>
      </c>
      <c r="H4" s="6" t="s">
        <v>25</v>
      </c>
      <c r="I4" s="6" t="s">
        <v>25</v>
      </c>
      <c r="J4" s="6" t="s">
        <v>25</v>
      </c>
      <c r="K4" s="6" t="s">
        <v>25</v>
      </c>
      <c r="L4" s="6" t="s">
        <v>25</v>
      </c>
      <c r="M4" s="6" t="s">
        <v>25</v>
      </c>
      <c r="N4" s="6" t="s">
        <v>25</v>
      </c>
      <c r="O4" s="6" t="s">
        <v>25</v>
      </c>
      <c r="P4" s="11" t="s">
        <v>35</v>
      </c>
      <c r="Q4" s="11" t="n">
        <v>43831</v>
      </c>
      <c r="R4" s="6" t="s">
        <v>25</v>
      </c>
      <c r="S4" s="11" t="n">
        <v>45658</v>
      </c>
      <c r="T4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4" s="11"/>
    </row>
    <row r="5" customFormat="false" ht="16.15" hidden="false" customHeight="false" outlineLevel="0" collapsed="false">
      <c r="A5" s="4" t="s">
        <v>36</v>
      </c>
      <c r="B5" s="5" t="s">
        <v>37</v>
      </c>
      <c r="C5" s="9" t="s">
        <v>23</v>
      </c>
      <c r="D5" s="9" t="s">
        <v>38</v>
      </c>
      <c r="E5" s="6" t="s">
        <v>25</v>
      </c>
      <c r="F5" s="10" t="n">
        <v>1</v>
      </c>
      <c r="G5" s="6" t="n">
        <v>0</v>
      </c>
      <c r="H5" s="6" t="s">
        <v>25</v>
      </c>
      <c r="I5" s="6" t="s">
        <v>25</v>
      </c>
      <c r="J5" s="6" t="s">
        <v>25</v>
      </c>
      <c r="K5" s="6" t="s">
        <v>25</v>
      </c>
      <c r="L5" s="6" t="s">
        <v>25</v>
      </c>
      <c r="M5" s="6" t="s">
        <v>25</v>
      </c>
      <c r="N5" s="6" t="s">
        <v>25</v>
      </c>
      <c r="O5" s="6" t="s">
        <v>25</v>
      </c>
      <c r="P5" s="11" t="s">
        <v>39</v>
      </c>
      <c r="Q5" s="11" t="n">
        <v>43831</v>
      </c>
      <c r="R5" s="6" t="s">
        <v>25</v>
      </c>
      <c r="S5" s="11" t="n">
        <v>45658</v>
      </c>
      <c r="T5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5" s="11"/>
    </row>
    <row r="6" customFormat="false" ht="16.15" hidden="false" customHeight="false" outlineLevel="0" collapsed="false">
      <c r="A6" s="4" t="s">
        <v>40</v>
      </c>
      <c r="B6" s="5" t="s">
        <v>41</v>
      </c>
      <c r="C6" s="9" t="s">
        <v>23</v>
      </c>
      <c r="D6" s="9" t="s">
        <v>42</v>
      </c>
      <c r="E6" s="6" t="s">
        <v>25</v>
      </c>
      <c r="F6" s="10" t="n">
        <v>1</v>
      </c>
      <c r="G6" s="6" t="n">
        <v>0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11" t="s">
        <v>43</v>
      </c>
      <c r="Q6" s="11" t="n">
        <v>43831</v>
      </c>
      <c r="R6" s="6" t="s">
        <v>25</v>
      </c>
      <c r="S6" s="11"/>
      <c r="T6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" s="11"/>
    </row>
    <row r="7" customFormat="false" ht="16.15" hidden="false" customHeight="false" outlineLevel="0" collapsed="false">
      <c r="A7" s="4" t="s">
        <v>44</v>
      </c>
      <c r="B7" s="5" t="s">
        <v>45</v>
      </c>
      <c r="C7" s="9" t="s">
        <v>23</v>
      </c>
      <c r="D7" s="9" t="s">
        <v>46</v>
      </c>
      <c r="E7" s="6" t="s">
        <v>25</v>
      </c>
      <c r="F7" s="10" t="n">
        <v>1</v>
      </c>
      <c r="G7" s="6" t="n">
        <v>0</v>
      </c>
      <c r="H7" s="6" t="s">
        <v>25</v>
      </c>
      <c r="I7" s="6" t="s">
        <v>25</v>
      </c>
      <c r="J7" s="6" t="s">
        <v>25</v>
      </c>
      <c r="K7" s="6" t="s">
        <v>25</v>
      </c>
      <c r="L7" s="6" t="s">
        <v>25</v>
      </c>
      <c r="M7" s="6" t="s">
        <v>25</v>
      </c>
      <c r="N7" s="6" t="s">
        <v>25</v>
      </c>
      <c r="O7" s="6" t="s">
        <v>25</v>
      </c>
      <c r="P7" s="11" t="s">
        <v>47</v>
      </c>
      <c r="Q7" s="11" t="n">
        <v>43831</v>
      </c>
      <c r="R7" s="6" t="s">
        <v>25</v>
      </c>
      <c r="S7" s="11"/>
      <c r="T7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7" s="11"/>
    </row>
    <row r="8" customFormat="false" ht="16.15" hidden="false" customHeight="false" outlineLevel="0" collapsed="false">
      <c r="A8" s="4" t="s">
        <v>48</v>
      </c>
      <c r="B8" s="5" t="s">
        <v>49</v>
      </c>
      <c r="C8" s="9" t="s">
        <v>23</v>
      </c>
      <c r="D8" s="9" t="s">
        <v>50</v>
      </c>
      <c r="E8" s="6" t="s">
        <v>25</v>
      </c>
      <c r="F8" s="10" t="n">
        <v>1</v>
      </c>
      <c r="G8" s="6" t="n">
        <v>0</v>
      </c>
      <c r="H8" s="6" t="s">
        <v>25</v>
      </c>
      <c r="I8" s="6" t="s">
        <v>25</v>
      </c>
      <c r="J8" s="6" t="s">
        <v>25</v>
      </c>
      <c r="K8" s="6" t="s">
        <v>25</v>
      </c>
      <c r="L8" s="6" t="s">
        <v>25</v>
      </c>
      <c r="M8" s="6" t="s">
        <v>25</v>
      </c>
      <c r="N8" s="6" t="s">
        <v>25</v>
      </c>
      <c r="O8" s="6" t="s">
        <v>25</v>
      </c>
      <c r="P8" s="11" t="s">
        <v>26</v>
      </c>
      <c r="Q8" s="11" t="n">
        <v>43831</v>
      </c>
      <c r="R8" s="6" t="s">
        <v>25</v>
      </c>
      <c r="S8" s="11"/>
      <c r="T8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8" s="11"/>
    </row>
    <row r="9" customFormat="false" ht="16.15" hidden="false" customHeight="false" outlineLevel="0" collapsed="false">
      <c r="A9" s="4" t="s">
        <v>51</v>
      </c>
      <c r="B9" s="5" t="s">
        <v>52</v>
      </c>
      <c r="C9" s="9" t="s">
        <v>23</v>
      </c>
      <c r="D9" s="9" t="s">
        <v>53</v>
      </c>
      <c r="E9" s="6" t="s">
        <v>25</v>
      </c>
      <c r="F9" s="10" t="n">
        <v>1</v>
      </c>
      <c r="G9" s="6" t="n">
        <v>0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11" t="s">
        <v>30</v>
      </c>
      <c r="Q9" s="11" t="n">
        <v>43831</v>
      </c>
      <c r="R9" s="6" t="s">
        <v>25</v>
      </c>
      <c r="S9" s="11"/>
      <c r="T9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9" s="11"/>
    </row>
    <row r="10" customFormat="false" ht="16.15" hidden="false" customHeight="false" outlineLevel="0" collapsed="false">
      <c r="A10" s="4" t="s">
        <v>54</v>
      </c>
      <c r="B10" s="5" t="s">
        <v>55</v>
      </c>
      <c r="C10" s="9" t="s">
        <v>23</v>
      </c>
      <c r="D10" s="9" t="s">
        <v>56</v>
      </c>
      <c r="E10" s="6" t="s">
        <v>25</v>
      </c>
      <c r="F10" s="10" t="n">
        <v>2</v>
      </c>
      <c r="G10" s="6" t="n">
        <v>0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25</v>
      </c>
      <c r="O10" s="6" t="s">
        <v>25</v>
      </c>
      <c r="P10" s="11" t="s">
        <v>35</v>
      </c>
      <c r="Q10" s="11" t="n">
        <v>43831</v>
      </c>
      <c r="R10" s="6" t="s">
        <v>25</v>
      </c>
      <c r="S10" s="11"/>
      <c r="T10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10" s="11"/>
    </row>
    <row r="11" customFormat="false" ht="16.15" hidden="false" customHeight="false" outlineLevel="0" collapsed="false">
      <c r="A11" s="4" t="s">
        <v>57</v>
      </c>
      <c r="B11" s="5" t="s">
        <v>58</v>
      </c>
      <c r="C11" s="9" t="s">
        <v>23</v>
      </c>
      <c r="D11" s="9" t="s">
        <v>59</v>
      </c>
      <c r="E11" s="6" t="s">
        <v>25</v>
      </c>
      <c r="F11" s="10" t="n">
        <v>2</v>
      </c>
      <c r="G11" s="6" t="n">
        <v>0</v>
      </c>
      <c r="H11" s="6" t="s">
        <v>25</v>
      </c>
      <c r="I11" s="6" t="s">
        <v>25</v>
      </c>
      <c r="J11" s="6" t="s">
        <v>25</v>
      </c>
      <c r="K11" s="6" t="s">
        <v>25</v>
      </c>
      <c r="L11" s="6" t="s">
        <v>25</v>
      </c>
      <c r="M11" s="6" t="s">
        <v>25</v>
      </c>
      <c r="N11" s="6" t="s">
        <v>25</v>
      </c>
      <c r="O11" s="6" t="s">
        <v>25</v>
      </c>
      <c r="P11" s="11" t="s">
        <v>39</v>
      </c>
      <c r="Q11" s="11" t="n">
        <v>43831</v>
      </c>
      <c r="R11" s="6" t="s">
        <v>25</v>
      </c>
      <c r="S11" s="11"/>
      <c r="T11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11" s="11"/>
    </row>
    <row r="12" customFormat="false" ht="16.15" hidden="false" customHeight="false" outlineLevel="0" collapsed="false">
      <c r="A12" s="4" t="s">
        <v>60</v>
      </c>
      <c r="B12" s="5" t="s">
        <v>61</v>
      </c>
      <c r="C12" s="9" t="s">
        <v>23</v>
      </c>
      <c r="D12" s="9" t="s">
        <v>62</v>
      </c>
      <c r="E12" s="6" t="s">
        <v>25</v>
      </c>
      <c r="F12" s="10" t="n">
        <v>3</v>
      </c>
      <c r="G12" s="6" t="n">
        <v>0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11" t="s">
        <v>43</v>
      </c>
      <c r="Q12" s="11" t="n">
        <v>43831</v>
      </c>
      <c r="R12" s="6" t="s">
        <v>25</v>
      </c>
      <c r="S12" s="11"/>
      <c r="T12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12" s="11"/>
    </row>
    <row r="13" customFormat="false" ht="16.15" hidden="false" customHeight="false" outlineLevel="0" collapsed="false">
      <c r="A13" s="4" t="s">
        <v>63</v>
      </c>
      <c r="B13" s="5" t="s">
        <v>64</v>
      </c>
      <c r="C13" s="9" t="s">
        <v>23</v>
      </c>
      <c r="D13" s="9" t="s">
        <v>65</v>
      </c>
      <c r="E13" s="6" t="s">
        <v>25</v>
      </c>
      <c r="F13" s="10" t="n">
        <v>1</v>
      </c>
      <c r="G13" s="6" t="n">
        <v>0</v>
      </c>
      <c r="H13" s="6" t="s">
        <v>25</v>
      </c>
      <c r="I13" s="6" t="s">
        <v>25</v>
      </c>
      <c r="J13" s="6" t="s">
        <v>25</v>
      </c>
      <c r="K13" s="6" t="s">
        <v>25</v>
      </c>
      <c r="L13" s="6" t="s">
        <v>25</v>
      </c>
      <c r="M13" s="6" t="s">
        <v>25</v>
      </c>
      <c r="N13" s="6" t="s">
        <v>25</v>
      </c>
      <c r="O13" s="6" t="s">
        <v>25</v>
      </c>
      <c r="P13" s="11" t="s">
        <v>47</v>
      </c>
      <c r="Q13" s="11" t="n">
        <v>43831</v>
      </c>
      <c r="R13" s="6" t="s">
        <v>25</v>
      </c>
      <c r="S13" s="11"/>
      <c r="T13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13" s="11"/>
    </row>
    <row r="14" customFormat="false" ht="16.15" hidden="false" customHeight="false" outlineLevel="0" collapsed="false">
      <c r="A14" s="4" t="s">
        <v>66</v>
      </c>
      <c r="B14" s="5" t="s">
        <v>67</v>
      </c>
      <c r="C14" s="9" t="s">
        <v>68</v>
      </c>
      <c r="D14" s="9" t="s">
        <v>69</v>
      </c>
      <c r="E14" s="6" t="s">
        <v>25</v>
      </c>
      <c r="F14" s="10" t="n">
        <v>1</v>
      </c>
      <c r="G14" s="6" t="n">
        <v>0</v>
      </c>
      <c r="H14" s="6" t="s">
        <v>25</v>
      </c>
      <c r="I14" s="6" t="s">
        <v>25</v>
      </c>
      <c r="J14" s="6" t="s">
        <v>25</v>
      </c>
      <c r="K14" s="6" t="s">
        <v>25</v>
      </c>
      <c r="L14" s="6" t="s">
        <v>25</v>
      </c>
      <c r="M14" s="6" t="s">
        <v>25</v>
      </c>
      <c r="N14" s="6" t="s">
        <v>25</v>
      </c>
      <c r="O14" s="6" t="s">
        <v>25</v>
      </c>
      <c r="P14" s="11" t="s">
        <v>26</v>
      </c>
      <c r="Q14" s="11" t="n">
        <v>43831</v>
      </c>
      <c r="R14" s="6" t="s">
        <v>25</v>
      </c>
      <c r="S14" s="11"/>
      <c r="T14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14" s="11"/>
    </row>
    <row r="15" customFormat="false" ht="16.15" hidden="false" customHeight="false" outlineLevel="0" collapsed="false">
      <c r="A15" s="4" t="s">
        <v>70</v>
      </c>
      <c r="B15" s="5" t="s">
        <v>71</v>
      </c>
      <c r="C15" s="9" t="s">
        <v>68</v>
      </c>
      <c r="D15" s="9" t="s">
        <v>72</v>
      </c>
      <c r="E15" s="6" t="s">
        <v>25</v>
      </c>
      <c r="F15" s="10" t="n">
        <v>2</v>
      </c>
      <c r="G15" s="12" t="n">
        <v>2</v>
      </c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25</v>
      </c>
      <c r="O15" s="6" t="s">
        <v>25</v>
      </c>
      <c r="P15" s="11" t="s">
        <v>30</v>
      </c>
      <c r="Q15" s="11" t="n">
        <v>43831</v>
      </c>
      <c r="R15" s="6" t="s">
        <v>25</v>
      </c>
      <c r="S15" s="11"/>
      <c r="T15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15" s="11"/>
    </row>
    <row r="16" customFormat="false" ht="16.15" hidden="false" customHeight="false" outlineLevel="0" collapsed="false">
      <c r="A16" s="4" t="s">
        <v>73</v>
      </c>
      <c r="B16" s="5" t="s">
        <v>74</v>
      </c>
      <c r="C16" s="9" t="s">
        <v>23</v>
      </c>
      <c r="D16" s="9" t="s">
        <v>75</v>
      </c>
      <c r="E16" s="6" t="s">
        <v>25</v>
      </c>
      <c r="F16" s="10" t="n">
        <v>1</v>
      </c>
      <c r="G16" s="12" t="n">
        <v>1</v>
      </c>
      <c r="H16" s="6" t="s">
        <v>25</v>
      </c>
      <c r="I16" s="6" t="s">
        <v>25</v>
      </c>
      <c r="J16" s="6" t="s">
        <v>25</v>
      </c>
      <c r="K16" s="6" t="s">
        <v>25</v>
      </c>
      <c r="L16" s="6" t="s">
        <v>25</v>
      </c>
      <c r="M16" s="6" t="s">
        <v>25</v>
      </c>
      <c r="N16" s="6" t="s">
        <v>25</v>
      </c>
      <c r="O16" s="6" t="s">
        <v>25</v>
      </c>
      <c r="P16" s="11" t="s">
        <v>35</v>
      </c>
      <c r="Q16" s="11" t="n">
        <v>43831</v>
      </c>
      <c r="R16" s="6" t="s">
        <v>25</v>
      </c>
      <c r="S16" s="11"/>
      <c r="T16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16" s="11"/>
    </row>
    <row r="17" customFormat="false" ht="16.15" hidden="false" customHeight="false" outlineLevel="0" collapsed="false">
      <c r="A17" s="4" t="s">
        <v>76</v>
      </c>
      <c r="B17" s="5" t="s">
        <v>77</v>
      </c>
      <c r="C17" s="9" t="s">
        <v>68</v>
      </c>
      <c r="D17" s="9" t="s">
        <v>78</v>
      </c>
      <c r="E17" s="6" t="s">
        <v>25</v>
      </c>
      <c r="F17" s="10" t="n">
        <v>1</v>
      </c>
      <c r="G17" s="6" t="n">
        <v>0</v>
      </c>
      <c r="H17" s="6" t="s">
        <v>25</v>
      </c>
      <c r="I17" s="6" t="s">
        <v>25</v>
      </c>
      <c r="J17" s="6" t="s">
        <v>25</v>
      </c>
      <c r="K17" s="6" t="s">
        <v>25</v>
      </c>
      <c r="L17" s="6" t="s">
        <v>25</v>
      </c>
      <c r="M17" s="6" t="s">
        <v>25</v>
      </c>
      <c r="N17" s="6" t="s">
        <v>25</v>
      </c>
      <c r="O17" s="6" t="s">
        <v>25</v>
      </c>
      <c r="P17" s="11" t="s">
        <v>39</v>
      </c>
      <c r="Q17" s="11" t="n">
        <v>43831</v>
      </c>
      <c r="R17" s="6" t="s">
        <v>25</v>
      </c>
      <c r="S17" s="11"/>
      <c r="T17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17" s="11"/>
    </row>
    <row r="18" customFormat="false" ht="16.15" hidden="false" customHeight="false" outlineLevel="0" collapsed="false">
      <c r="A18" s="4" t="s">
        <v>79</v>
      </c>
      <c r="B18" s="5" t="s">
        <v>80</v>
      </c>
      <c r="C18" s="9" t="s">
        <v>81</v>
      </c>
      <c r="D18" s="9" t="s">
        <v>81</v>
      </c>
      <c r="E18" s="6" t="s">
        <v>25</v>
      </c>
      <c r="F18" s="10" t="n">
        <v>1</v>
      </c>
      <c r="G18" s="6" t="n">
        <v>0</v>
      </c>
      <c r="H18" s="6" t="s">
        <v>25</v>
      </c>
      <c r="I18" s="6" t="s">
        <v>25</v>
      </c>
      <c r="J18" s="6" t="s">
        <v>25</v>
      </c>
      <c r="K18" s="6" t="s">
        <v>25</v>
      </c>
      <c r="L18" s="6" t="s">
        <v>25</v>
      </c>
      <c r="M18" s="6" t="s">
        <v>25</v>
      </c>
      <c r="N18" s="6" t="s">
        <v>25</v>
      </c>
      <c r="O18" s="6" t="s">
        <v>25</v>
      </c>
      <c r="P18" s="11" t="s">
        <v>43</v>
      </c>
      <c r="Q18" s="11" t="n">
        <v>43831</v>
      </c>
      <c r="R18" s="6" t="s">
        <v>25</v>
      </c>
      <c r="S18" s="11"/>
      <c r="T18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18" s="11"/>
    </row>
    <row r="19" customFormat="false" ht="16.15" hidden="false" customHeight="false" outlineLevel="0" collapsed="false">
      <c r="A19" s="4" t="s">
        <v>82</v>
      </c>
      <c r="B19" s="5" t="s">
        <v>83</v>
      </c>
      <c r="C19" s="9" t="s">
        <v>84</v>
      </c>
      <c r="D19" s="9" t="s">
        <v>85</v>
      </c>
      <c r="E19" s="6" t="s">
        <v>25</v>
      </c>
      <c r="F19" s="10" t="n">
        <v>1</v>
      </c>
      <c r="G19" s="6" t="n">
        <v>0</v>
      </c>
      <c r="H19" s="6" t="s">
        <v>25</v>
      </c>
      <c r="I19" s="6" t="s">
        <v>25</v>
      </c>
      <c r="J19" s="6" t="s">
        <v>25</v>
      </c>
      <c r="K19" s="6" t="s">
        <v>25</v>
      </c>
      <c r="L19" s="6" t="s">
        <v>25</v>
      </c>
      <c r="M19" s="6" t="s">
        <v>25</v>
      </c>
      <c r="N19" s="6" t="s">
        <v>25</v>
      </c>
      <c r="O19" s="6" t="s">
        <v>25</v>
      </c>
      <c r="P19" s="11" t="s">
        <v>47</v>
      </c>
      <c r="Q19" s="11" t="n">
        <v>43831</v>
      </c>
      <c r="R19" s="6" t="s">
        <v>25</v>
      </c>
      <c r="S19" s="11"/>
      <c r="T19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19" s="11"/>
    </row>
    <row r="20" customFormat="false" ht="16.15" hidden="false" customHeight="false" outlineLevel="0" collapsed="false">
      <c r="A20" s="4" t="s">
        <v>86</v>
      </c>
      <c r="B20" s="5" t="s">
        <v>87</v>
      </c>
      <c r="C20" s="9" t="s">
        <v>23</v>
      </c>
      <c r="D20" s="9" t="s">
        <v>88</v>
      </c>
      <c r="E20" s="6" t="s">
        <v>25</v>
      </c>
      <c r="F20" s="10" t="n">
        <v>1</v>
      </c>
      <c r="G20" s="6" t="n">
        <v>0</v>
      </c>
      <c r="H20" s="6" t="s">
        <v>25</v>
      </c>
      <c r="I20" s="6" t="s">
        <v>25</v>
      </c>
      <c r="J20" s="6" t="s">
        <v>25</v>
      </c>
      <c r="K20" s="6" t="s">
        <v>25</v>
      </c>
      <c r="L20" s="6" t="s">
        <v>25</v>
      </c>
      <c r="M20" s="6" t="s">
        <v>25</v>
      </c>
      <c r="N20" s="6" t="s">
        <v>25</v>
      </c>
      <c r="O20" s="6" t="s">
        <v>25</v>
      </c>
      <c r="P20" s="11" t="s">
        <v>26</v>
      </c>
      <c r="Q20" s="11" t="n">
        <v>43831</v>
      </c>
      <c r="R20" s="6" t="s">
        <v>25</v>
      </c>
      <c r="S20" s="11"/>
      <c r="T20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20" s="11"/>
    </row>
    <row r="21" customFormat="false" ht="16.15" hidden="false" customHeight="false" outlineLevel="0" collapsed="false">
      <c r="A21" s="4" t="s">
        <v>89</v>
      </c>
      <c r="B21" s="5" t="s">
        <v>90</v>
      </c>
      <c r="C21" s="9" t="s">
        <v>23</v>
      </c>
      <c r="D21" s="9" t="s">
        <v>91</v>
      </c>
      <c r="E21" s="6" t="s">
        <v>25</v>
      </c>
      <c r="F21" s="10" t="n">
        <v>1</v>
      </c>
      <c r="G21" s="6" t="n">
        <v>0</v>
      </c>
      <c r="H21" s="6" t="s">
        <v>25</v>
      </c>
      <c r="I21" s="6" t="s">
        <v>25</v>
      </c>
      <c r="J21" s="6" t="s">
        <v>25</v>
      </c>
      <c r="K21" s="6" t="s">
        <v>25</v>
      </c>
      <c r="L21" s="6" t="s">
        <v>25</v>
      </c>
      <c r="M21" s="6" t="s">
        <v>25</v>
      </c>
      <c r="N21" s="6" t="s">
        <v>25</v>
      </c>
      <c r="O21" s="6" t="s">
        <v>25</v>
      </c>
      <c r="P21" s="11" t="s">
        <v>30</v>
      </c>
      <c r="Q21" s="11" t="n">
        <v>43831</v>
      </c>
      <c r="R21" s="6" t="s">
        <v>25</v>
      </c>
      <c r="S21" s="11"/>
      <c r="T21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21" s="11"/>
    </row>
    <row r="22" customFormat="false" ht="16.15" hidden="false" customHeight="false" outlineLevel="0" collapsed="false">
      <c r="A22" s="13" t="s">
        <v>92</v>
      </c>
      <c r="B22" s="5" t="s">
        <v>93</v>
      </c>
      <c r="C22" s="9" t="s">
        <v>94</v>
      </c>
      <c r="D22" s="9" t="s">
        <v>95</v>
      </c>
      <c r="E22" s="6" t="s">
        <v>25</v>
      </c>
      <c r="F22" s="10" t="n">
        <v>1</v>
      </c>
      <c r="G22" s="6" t="n">
        <v>0</v>
      </c>
      <c r="H22" s="6" t="s">
        <v>25</v>
      </c>
      <c r="I22" s="6" t="s">
        <v>25</v>
      </c>
      <c r="J22" s="6" t="s">
        <v>25</v>
      </c>
      <c r="K22" s="6" t="s">
        <v>25</v>
      </c>
      <c r="L22" s="6" t="s">
        <v>25</v>
      </c>
      <c r="M22" s="6" t="s">
        <v>25</v>
      </c>
      <c r="N22" s="6" t="s">
        <v>25</v>
      </c>
      <c r="O22" s="6" t="s">
        <v>25</v>
      </c>
      <c r="P22" s="11" t="s">
        <v>35</v>
      </c>
      <c r="Q22" s="11" t="n">
        <v>43831</v>
      </c>
      <c r="R22" s="6" t="s">
        <v>25</v>
      </c>
      <c r="S22" s="11"/>
      <c r="T22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22" s="11"/>
    </row>
    <row r="23" customFormat="false" ht="16.15" hidden="false" customHeight="false" outlineLevel="0" collapsed="false">
      <c r="A23" s="4" t="s">
        <v>96</v>
      </c>
      <c r="B23" s="5" t="s">
        <v>97</v>
      </c>
      <c r="C23" s="9" t="s">
        <v>94</v>
      </c>
      <c r="D23" s="9" t="s">
        <v>98</v>
      </c>
      <c r="E23" s="6" t="s">
        <v>25</v>
      </c>
      <c r="F23" s="10" t="n">
        <v>1</v>
      </c>
      <c r="G23" s="6" t="n">
        <v>0</v>
      </c>
      <c r="H23" s="6" t="s">
        <v>25</v>
      </c>
      <c r="I23" s="6" t="s">
        <v>25</v>
      </c>
      <c r="J23" s="6" t="s">
        <v>25</v>
      </c>
      <c r="K23" s="6" t="s">
        <v>25</v>
      </c>
      <c r="L23" s="6" t="s">
        <v>25</v>
      </c>
      <c r="M23" s="6" t="s">
        <v>25</v>
      </c>
      <c r="N23" s="6" t="s">
        <v>25</v>
      </c>
      <c r="O23" s="6" t="s">
        <v>25</v>
      </c>
      <c r="P23" s="11" t="s">
        <v>39</v>
      </c>
      <c r="Q23" s="11" t="n">
        <v>54789</v>
      </c>
      <c r="R23" s="6" t="s">
        <v>25</v>
      </c>
      <c r="S23" s="11"/>
      <c r="T23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23" s="11"/>
    </row>
    <row r="24" customFormat="false" ht="16.15" hidden="false" customHeight="false" outlineLevel="0" collapsed="false">
      <c r="A24" s="4" t="s">
        <v>99</v>
      </c>
      <c r="B24" s="5" t="s">
        <v>100</v>
      </c>
      <c r="C24" s="9" t="s">
        <v>101</v>
      </c>
      <c r="D24" s="9" t="s">
        <v>101</v>
      </c>
      <c r="E24" s="6" t="s">
        <v>25</v>
      </c>
      <c r="F24" s="10" t="n">
        <v>1</v>
      </c>
      <c r="G24" s="6" t="n">
        <v>0</v>
      </c>
      <c r="H24" s="6" t="s">
        <v>25</v>
      </c>
      <c r="I24" s="6" t="s">
        <v>25</v>
      </c>
      <c r="J24" s="6" t="s">
        <v>25</v>
      </c>
      <c r="K24" s="6" t="s">
        <v>25</v>
      </c>
      <c r="L24" s="6" t="s">
        <v>25</v>
      </c>
      <c r="M24" s="6" t="s">
        <v>25</v>
      </c>
      <c r="N24" s="6" t="s">
        <v>25</v>
      </c>
      <c r="O24" s="6" t="s">
        <v>25</v>
      </c>
      <c r="P24" s="11" t="s">
        <v>43</v>
      </c>
      <c r="Q24" s="11" t="n">
        <v>54789</v>
      </c>
      <c r="R24" s="6" t="s">
        <v>25</v>
      </c>
      <c r="S24" s="11"/>
      <c r="T24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24" s="11"/>
    </row>
    <row r="25" customFormat="false" ht="16.15" hidden="false" customHeight="false" outlineLevel="0" collapsed="false">
      <c r="A25" s="4" t="s">
        <v>102</v>
      </c>
      <c r="B25" s="5" t="s">
        <v>103</v>
      </c>
      <c r="C25" s="9" t="s">
        <v>104</v>
      </c>
      <c r="D25" s="9" t="s">
        <v>104</v>
      </c>
      <c r="E25" s="6" t="s">
        <v>25</v>
      </c>
      <c r="F25" s="10" t="n">
        <v>1</v>
      </c>
      <c r="G25" s="6" t="n">
        <v>0</v>
      </c>
      <c r="H25" s="6" t="s">
        <v>25</v>
      </c>
      <c r="I25" s="6" t="s">
        <v>25</v>
      </c>
      <c r="J25" s="6" t="s">
        <v>25</v>
      </c>
      <c r="K25" s="6" t="s">
        <v>25</v>
      </c>
      <c r="L25" s="6" t="s">
        <v>25</v>
      </c>
      <c r="M25" s="6" t="s">
        <v>25</v>
      </c>
      <c r="N25" s="6" t="s">
        <v>25</v>
      </c>
      <c r="O25" s="6" t="s">
        <v>25</v>
      </c>
      <c r="P25" s="11" t="s">
        <v>47</v>
      </c>
      <c r="Q25" s="11" t="n">
        <v>54789</v>
      </c>
      <c r="R25" s="6" t="s">
        <v>25</v>
      </c>
      <c r="S25" s="11"/>
      <c r="T25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25" s="11"/>
    </row>
    <row r="26" customFormat="false" ht="16.15" hidden="false" customHeight="false" outlineLevel="0" collapsed="false">
      <c r="A26" s="4" t="s">
        <v>105</v>
      </c>
      <c r="B26" s="5" t="s">
        <v>106</v>
      </c>
      <c r="C26" s="9" t="s">
        <v>23</v>
      </c>
      <c r="D26" s="9" t="s">
        <v>107</v>
      </c>
      <c r="E26" s="6" t="s">
        <v>25</v>
      </c>
      <c r="F26" s="10" t="n">
        <v>1</v>
      </c>
      <c r="G26" s="6" t="n">
        <v>0</v>
      </c>
      <c r="H26" s="6" t="s">
        <v>25</v>
      </c>
      <c r="I26" s="6" t="s">
        <v>25</v>
      </c>
      <c r="J26" s="6" t="s">
        <v>25</v>
      </c>
      <c r="K26" s="6" t="s">
        <v>25</v>
      </c>
      <c r="L26" s="6" t="s">
        <v>25</v>
      </c>
      <c r="M26" s="6" t="s">
        <v>25</v>
      </c>
      <c r="N26" s="6" t="s">
        <v>25</v>
      </c>
      <c r="O26" s="6" t="s">
        <v>25</v>
      </c>
      <c r="P26" s="11" t="s">
        <v>26</v>
      </c>
      <c r="Q26" s="11" t="n">
        <v>54789</v>
      </c>
      <c r="R26" s="6" t="s">
        <v>25</v>
      </c>
      <c r="S26" s="11"/>
      <c r="T26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26" s="11"/>
    </row>
    <row r="27" customFormat="false" ht="16.15" hidden="false" customHeight="false" outlineLevel="0" collapsed="false">
      <c r="A27" s="4" t="s">
        <v>108</v>
      </c>
      <c r="B27" s="5" t="s">
        <v>109</v>
      </c>
      <c r="C27" s="9" t="s">
        <v>23</v>
      </c>
      <c r="D27" s="9" t="s">
        <v>110</v>
      </c>
      <c r="E27" s="6" t="s">
        <v>25</v>
      </c>
      <c r="F27" s="10" t="n">
        <v>1</v>
      </c>
      <c r="G27" s="6" t="n">
        <v>0</v>
      </c>
      <c r="H27" s="6" t="s">
        <v>25</v>
      </c>
      <c r="I27" s="6" t="s">
        <v>25</v>
      </c>
      <c r="J27" s="6" t="s">
        <v>25</v>
      </c>
      <c r="K27" s="6" t="s">
        <v>25</v>
      </c>
      <c r="L27" s="6" t="s">
        <v>25</v>
      </c>
      <c r="M27" s="6" t="s">
        <v>25</v>
      </c>
      <c r="N27" s="6" t="s">
        <v>25</v>
      </c>
      <c r="O27" s="6" t="s">
        <v>25</v>
      </c>
      <c r="P27" s="11" t="s">
        <v>30</v>
      </c>
      <c r="Q27" s="11" t="n">
        <v>43831</v>
      </c>
      <c r="R27" s="6" t="s">
        <v>25</v>
      </c>
      <c r="S27" s="11"/>
      <c r="T27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27" s="11"/>
    </row>
    <row r="28" customFormat="false" ht="16.15" hidden="false" customHeight="false" outlineLevel="0" collapsed="false">
      <c r="A28" s="4" t="s">
        <v>111</v>
      </c>
      <c r="B28" s="5" t="s">
        <v>112</v>
      </c>
      <c r="C28" s="9" t="s">
        <v>113</v>
      </c>
      <c r="D28" s="9" t="s">
        <v>114</v>
      </c>
      <c r="E28" s="6" t="s">
        <v>25</v>
      </c>
      <c r="F28" s="10" t="n">
        <v>1</v>
      </c>
      <c r="G28" s="6" t="n">
        <v>0</v>
      </c>
      <c r="H28" s="6" t="s">
        <v>25</v>
      </c>
      <c r="I28" s="6" t="s">
        <v>25</v>
      </c>
      <c r="J28" s="6" t="s">
        <v>25</v>
      </c>
      <c r="K28" s="6" t="s">
        <v>25</v>
      </c>
      <c r="L28" s="6" t="s">
        <v>25</v>
      </c>
      <c r="M28" s="6" t="s">
        <v>25</v>
      </c>
      <c r="N28" s="6" t="s">
        <v>25</v>
      </c>
      <c r="O28" s="6" t="s">
        <v>25</v>
      </c>
      <c r="P28" s="11" t="s">
        <v>35</v>
      </c>
      <c r="Q28" s="11" t="n">
        <v>43831</v>
      </c>
      <c r="R28" s="6" t="s">
        <v>25</v>
      </c>
      <c r="S28" s="11"/>
      <c r="T28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28" s="11"/>
    </row>
    <row r="29" customFormat="false" ht="16.15" hidden="false" customHeight="false" outlineLevel="0" collapsed="false">
      <c r="A29" s="4" t="s">
        <v>115</v>
      </c>
      <c r="B29" s="5" t="s">
        <v>116</v>
      </c>
      <c r="C29" s="9" t="s">
        <v>117</v>
      </c>
      <c r="D29" s="9" t="s">
        <v>118</v>
      </c>
      <c r="E29" s="6" t="s">
        <v>25</v>
      </c>
      <c r="F29" s="10" t="n">
        <v>1</v>
      </c>
      <c r="G29" s="6" t="n">
        <v>0</v>
      </c>
      <c r="H29" s="6" t="s">
        <v>25</v>
      </c>
      <c r="I29" s="6" t="s">
        <v>25</v>
      </c>
      <c r="J29" s="6" t="s">
        <v>25</v>
      </c>
      <c r="K29" s="6" t="s">
        <v>25</v>
      </c>
      <c r="L29" s="6" t="s">
        <v>25</v>
      </c>
      <c r="M29" s="6" t="s">
        <v>25</v>
      </c>
      <c r="N29" s="6" t="s">
        <v>25</v>
      </c>
      <c r="O29" s="6" t="s">
        <v>25</v>
      </c>
      <c r="P29" s="11" t="s">
        <v>39</v>
      </c>
      <c r="Q29" s="11" t="n">
        <v>43831</v>
      </c>
      <c r="R29" s="6" t="s">
        <v>25</v>
      </c>
      <c r="S29" s="11"/>
      <c r="T29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29" s="11"/>
    </row>
    <row r="30" customFormat="false" ht="16.15" hidden="false" customHeight="false" outlineLevel="0" collapsed="false">
      <c r="A30" s="4" t="s">
        <v>119</v>
      </c>
      <c r="B30" s="5" t="s">
        <v>120</v>
      </c>
      <c r="C30" s="9" t="s">
        <v>121</v>
      </c>
      <c r="D30" s="9" t="s">
        <v>121</v>
      </c>
      <c r="E30" s="6" t="s">
        <v>25</v>
      </c>
      <c r="F30" s="10" t="n">
        <v>1</v>
      </c>
      <c r="G30" s="6" t="n">
        <v>0</v>
      </c>
      <c r="H30" s="6" t="s">
        <v>25</v>
      </c>
      <c r="I30" s="6" t="s">
        <v>25</v>
      </c>
      <c r="J30" s="6" t="s">
        <v>25</v>
      </c>
      <c r="K30" s="6" t="s">
        <v>25</v>
      </c>
      <c r="L30" s="6" t="s">
        <v>25</v>
      </c>
      <c r="M30" s="6" t="s">
        <v>25</v>
      </c>
      <c r="N30" s="6" t="s">
        <v>25</v>
      </c>
      <c r="O30" s="6" t="s">
        <v>25</v>
      </c>
      <c r="P30" s="11" t="s">
        <v>43</v>
      </c>
      <c r="Q30" s="11" t="n">
        <v>43831</v>
      </c>
      <c r="R30" s="6" t="s">
        <v>25</v>
      </c>
      <c r="S30" s="11"/>
      <c r="T30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30" s="11"/>
    </row>
    <row r="31" customFormat="false" ht="16.15" hidden="false" customHeight="false" outlineLevel="0" collapsed="false">
      <c r="A31" s="4" t="s">
        <v>122</v>
      </c>
      <c r="B31" s="5" t="s">
        <v>123</v>
      </c>
      <c r="C31" s="9" t="s">
        <v>124</v>
      </c>
      <c r="D31" s="9" t="s">
        <v>125</v>
      </c>
      <c r="E31" s="6" t="s">
        <v>25</v>
      </c>
      <c r="F31" s="10" t="n">
        <v>1</v>
      </c>
      <c r="G31" s="6" t="n">
        <v>0</v>
      </c>
      <c r="H31" s="6" t="s">
        <v>25</v>
      </c>
      <c r="I31" s="6" t="s">
        <v>25</v>
      </c>
      <c r="J31" s="6" t="s">
        <v>25</v>
      </c>
      <c r="K31" s="6" t="s">
        <v>25</v>
      </c>
      <c r="L31" s="6" t="s">
        <v>25</v>
      </c>
      <c r="M31" s="6" t="s">
        <v>25</v>
      </c>
      <c r="N31" s="6" t="s">
        <v>25</v>
      </c>
      <c r="O31" s="6" t="s">
        <v>25</v>
      </c>
      <c r="P31" s="11" t="s">
        <v>47</v>
      </c>
      <c r="Q31" s="11" t="n">
        <v>43831</v>
      </c>
      <c r="R31" s="6" t="s">
        <v>25</v>
      </c>
      <c r="S31" s="11"/>
      <c r="T31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31" s="11"/>
    </row>
    <row r="32" customFormat="false" ht="16.15" hidden="false" customHeight="false" outlineLevel="0" collapsed="false">
      <c r="A32" s="4" t="s">
        <v>126</v>
      </c>
      <c r="B32" s="5" t="s">
        <v>127</v>
      </c>
      <c r="C32" s="9" t="s">
        <v>128</v>
      </c>
      <c r="D32" s="9" t="s">
        <v>128</v>
      </c>
      <c r="E32" s="6" t="s">
        <v>25</v>
      </c>
      <c r="F32" s="10" t="n">
        <v>1</v>
      </c>
      <c r="G32" s="6" t="n">
        <v>0</v>
      </c>
      <c r="H32" s="6" t="s">
        <v>25</v>
      </c>
      <c r="I32" s="6" t="s">
        <v>25</v>
      </c>
      <c r="J32" s="6" t="s">
        <v>25</v>
      </c>
      <c r="K32" s="6" t="s">
        <v>25</v>
      </c>
      <c r="L32" s="6" t="s">
        <v>25</v>
      </c>
      <c r="M32" s="6" t="s">
        <v>25</v>
      </c>
      <c r="N32" s="6" t="s">
        <v>25</v>
      </c>
      <c r="O32" s="6" t="s">
        <v>25</v>
      </c>
      <c r="P32" s="11" t="s">
        <v>26</v>
      </c>
      <c r="Q32" s="11" t="n">
        <v>43831</v>
      </c>
      <c r="R32" s="6" t="s">
        <v>25</v>
      </c>
      <c r="S32" s="11"/>
      <c r="T32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32" s="11"/>
    </row>
    <row r="33" customFormat="false" ht="16.15" hidden="false" customHeight="false" outlineLevel="0" collapsed="false">
      <c r="A33" s="4" t="s">
        <v>129</v>
      </c>
      <c r="B33" s="5" t="s">
        <v>130</v>
      </c>
      <c r="C33" s="9" t="s">
        <v>131</v>
      </c>
      <c r="D33" s="9" t="s">
        <v>132</v>
      </c>
      <c r="E33" s="6" t="s">
        <v>25</v>
      </c>
      <c r="F33" s="10" t="n">
        <v>1</v>
      </c>
      <c r="G33" s="6" t="n">
        <v>0</v>
      </c>
      <c r="H33" s="6" t="s">
        <v>25</v>
      </c>
      <c r="I33" s="6" t="s">
        <v>25</v>
      </c>
      <c r="J33" s="6" t="s">
        <v>25</v>
      </c>
      <c r="K33" s="6" t="s">
        <v>25</v>
      </c>
      <c r="L33" s="6" t="s">
        <v>25</v>
      </c>
      <c r="M33" s="6" t="s">
        <v>25</v>
      </c>
      <c r="N33" s="6" t="s">
        <v>25</v>
      </c>
      <c r="O33" s="6" t="s">
        <v>25</v>
      </c>
      <c r="P33" s="11" t="s">
        <v>30</v>
      </c>
      <c r="Q33" s="11" t="n">
        <v>43831</v>
      </c>
      <c r="R33" s="6" t="s">
        <v>25</v>
      </c>
      <c r="S33" s="11"/>
      <c r="T33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33" s="11"/>
    </row>
    <row r="34" s="16" customFormat="true" ht="16.15" hidden="false" customHeight="false" outlineLevel="0" collapsed="false">
      <c r="A34" s="14" t="s">
        <v>133</v>
      </c>
      <c r="B34" s="15" t="s">
        <v>134</v>
      </c>
      <c r="C34" s="16" t="s">
        <v>135</v>
      </c>
      <c r="D34" s="16" t="s">
        <v>136</v>
      </c>
      <c r="E34" s="6" t="s">
        <v>25</v>
      </c>
      <c r="F34" s="10" t="n">
        <v>1</v>
      </c>
      <c r="G34" s="6" t="n">
        <v>0</v>
      </c>
      <c r="H34" s="6" t="s">
        <v>25</v>
      </c>
      <c r="I34" s="6" t="s">
        <v>25</v>
      </c>
      <c r="J34" s="6" t="s">
        <v>25</v>
      </c>
      <c r="K34" s="6" t="s">
        <v>25</v>
      </c>
      <c r="L34" s="6" t="s">
        <v>25</v>
      </c>
      <c r="M34" s="6" t="s">
        <v>25</v>
      </c>
      <c r="N34" s="6" t="s">
        <v>25</v>
      </c>
      <c r="O34" s="6" t="s">
        <v>25</v>
      </c>
      <c r="P34" s="11" t="s">
        <v>35</v>
      </c>
      <c r="Q34" s="11" t="n">
        <v>43831</v>
      </c>
      <c r="R34" s="6" t="s">
        <v>25</v>
      </c>
      <c r="S34" s="17" t="n">
        <v>45016</v>
      </c>
      <c r="T34" s="17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34" s="17"/>
      <c r="V34" s="18"/>
      <c r="W34" s="1"/>
      <c r="X34" s="1"/>
      <c r="Y34" s="1"/>
    </row>
    <row r="35" customFormat="false" ht="16.15" hidden="false" customHeight="false" outlineLevel="0" collapsed="false">
      <c r="A35" s="4" t="s">
        <v>137</v>
      </c>
      <c r="B35" s="5" t="s">
        <v>138</v>
      </c>
      <c r="C35" s="9" t="s">
        <v>139</v>
      </c>
      <c r="D35" s="9" t="s">
        <v>125</v>
      </c>
      <c r="E35" s="6" t="s">
        <v>25</v>
      </c>
      <c r="F35" s="10" t="n">
        <v>1</v>
      </c>
      <c r="G35" s="6" t="n">
        <v>0</v>
      </c>
      <c r="H35" s="6" t="s">
        <v>25</v>
      </c>
      <c r="I35" s="6" t="s">
        <v>25</v>
      </c>
      <c r="J35" s="6" t="s">
        <v>25</v>
      </c>
      <c r="K35" s="6" t="s">
        <v>25</v>
      </c>
      <c r="L35" s="6" t="s">
        <v>25</v>
      </c>
      <c r="M35" s="6" t="s">
        <v>25</v>
      </c>
      <c r="N35" s="6" t="s">
        <v>25</v>
      </c>
      <c r="O35" s="6" t="s">
        <v>25</v>
      </c>
      <c r="P35" s="11" t="s">
        <v>39</v>
      </c>
      <c r="Q35" s="11" t="n">
        <v>43831</v>
      </c>
      <c r="R35" s="6" t="s">
        <v>25</v>
      </c>
      <c r="S35" s="11"/>
      <c r="T35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35" s="11"/>
    </row>
    <row r="36" customFormat="false" ht="16.15" hidden="false" customHeight="false" outlineLevel="0" collapsed="false">
      <c r="A36" s="4" t="s">
        <v>140</v>
      </c>
      <c r="B36" s="5" t="s">
        <v>141</v>
      </c>
      <c r="C36" s="9" t="s">
        <v>142</v>
      </c>
      <c r="D36" s="9" t="s">
        <v>143</v>
      </c>
      <c r="E36" s="6" t="s">
        <v>25</v>
      </c>
      <c r="F36" s="10" t="n">
        <v>1</v>
      </c>
      <c r="G36" s="6" t="n">
        <v>0</v>
      </c>
      <c r="H36" s="6" t="s">
        <v>25</v>
      </c>
      <c r="I36" s="6" t="s">
        <v>25</v>
      </c>
      <c r="J36" s="6" t="s">
        <v>25</v>
      </c>
      <c r="K36" s="6" t="s">
        <v>25</v>
      </c>
      <c r="L36" s="6" t="s">
        <v>25</v>
      </c>
      <c r="M36" s="6" t="s">
        <v>25</v>
      </c>
      <c r="N36" s="6" t="s">
        <v>25</v>
      </c>
      <c r="O36" s="6" t="s">
        <v>25</v>
      </c>
      <c r="P36" s="11" t="s">
        <v>43</v>
      </c>
      <c r="Q36" s="11" t="n">
        <v>43831</v>
      </c>
      <c r="R36" s="6" t="s">
        <v>25</v>
      </c>
      <c r="S36" s="11"/>
      <c r="T36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36" s="11"/>
    </row>
    <row r="37" customFormat="false" ht="16.15" hidden="false" customHeight="false" outlineLevel="0" collapsed="false">
      <c r="A37" s="4" t="s">
        <v>144</v>
      </c>
      <c r="B37" s="5" t="s">
        <v>145</v>
      </c>
      <c r="C37" s="9" t="s">
        <v>146</v>
      </c>
      <c r="D37" s="9" t="s">
        <v>147</v>
      </c>
      <c r="E37" s="6" t="s">
        <v>25</v>
      </c>
      <c r="F37" s="10" t="n">
        <v>1</v>
      </c>
      <c r="G37" s="6" t="n">
        <v>0</v>
      </c>
      <c r="H37" s="6" t="s">
        <v>25</v>
      </c>
      <c r="I37" s="6" t="s">
        <v>25</v>
      </c>
      <c r="J37" s="6" t="s">
        <v>25</v>
      </c>
      <c r="K37" s="6" t="s">
        <v>25</v>
      </c>
      <c r="L37" s="6" t="s">
        <v>25</v>
      </c>
      <c r="M37" s="6" t="s">
        <v>25</v>
      </c>
      <c r="N37" s="6" t="s">
        <v>25</v>
      </c>
      <c r="O37" s="6" t="s">
        <v>25</v>
      </c>
      <c r="P37" s="11" t="s">
        <v>47</v>
      </c>
      <c r="Q37" s="11" t="n">
        <v>43831</v>
      </c>
      <c r="R37" s="6" t="s">
        <v>25</v>
      </c>
      <c r="S37" s="11"/>
      <c r="T37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37" s="11"/>
    </row>
    <row r="38" customFormat="false" ht="16.15" hidden="false" customHeight="false" outlineLevel="0" collapsed="false">
      <c r="A38" s="4" t="s">
        <v>148</v>
      </c>
      <c r="B38" s="5" t="s">
        <v>149</v>
      </c>
      <c r="C38" s="9" t="s">
        <v>150</v>
      </c>
      <c r="D38" s="9" t="s">
        <v>151</v>
      </c>
      <c r="E38" s="6" t="s">
        <v>25</v>
      </c>
      <c r="F38" s="10" t="n">
        <v>1</v>
      </c>
      <c r="G38" s="6" t="n">
        <v>0</v>
      </c>
      <c r="H38" s="6" t="s">
        <v>25</v>
      </c>
      <c r="I38" s="6" t="s">
        <v>25</v>
      </c>
      <c r="J38" s="6" t="s">
        <v>25</v>
      </c>
      <c r="K38" s="6" t="s">
        <v>25</v>
      </c>
      <c r="L38" s="6" t="s">
        <v>25</v>
      </c>
      <c r="M38" s="6" t="s">
        <v>25</v>
      </c>
      <c r="N38" s="6" t="s">
        <v>25</v>
      </c>
      <c r="O38" s="6" t="s">
        <v>25</v>
      </c>
      <c r="P38" s="11" t="s">
        <v>26</v>
      </c>
      <c r="Q38" s="19" t="n">
        <v>54789</v>
      </c>
      <c r="R38" s="6" t="s">
        <v>25</v>
      </c>
      <c r="S38" s="11"/>
      <c r="T38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38" s="11"/>
    </row>
    <row r="39" customFormat="false" ht="16.15" hidden="false" customHeight="false" outlineLevel="0" collapsed="false">
      <c r="A39" s="4" t="s">
        <v>152</v>
      </c>
      <c r="B39" s="5" t="s">
        <v>153</v>
      </c>
      <c r="C39" s="9" t="s">
        <v>154</v>
      </c>
      <c r="D39" s="9" t="s">
        <v>154</v>
      </c>
      <c r="E39" s="6" t="s">
        <v>25</v>
      </c>
      <c r="F39" s="10" t="n">
        <v>1</v>
      </c>
      <c r="G39" s="6" t="n">
        <v>0</v>
      </c>
      <c r="H39" s="6" t="s">
        <v>25</v>
      </c>
      <c r="I39" s="6" t="s">
        <v>25</v>
      </c>
      <c r="J39" s="6" t="s">
        <v>25</v>
      </c>
      <c r="K39" s="6" t="s">
        <v>25</v>
      </c>
      <c r="L39" s="6" t="s">
        <v>25</v>
      </c>
      <c r="M39" s="6" t="s">
        <v>25</v>
      </c>
      <c r="N39" s="6" t="s">
        <v>25</v>
      </c>
      <c r="O39" s="6" t="s">
        <v>25</v>
      </c>
      <c r="P39" s="11" t="s">
        <v>30</v>
      </c>
      <c r="Q39" s="19" t="n">
        <v>54789</v>
      </c>
      <c r="R39" s="6" t="s">
        <v>25</v>
      </c>
      <c r="S39" s="11"/>
      <c r="T39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39" s="11"/>
    </row>
    <row r="40" customFormat="false" ht="16.15" hidden="false" customHeight="false" outlineLevel="0" collapsed="false">
      <c r="A40" s="4" t="s">
        <v>155</v>
      </c>
      <c r="B40" s="5" t="s">
        <v>156</v>
      </c>
      <c r="C40" s="9" t="s">
        <v>157</v>
      </c>
      <c r="D40" s="9" t="s">
        <v>158</v>
      </c>
      <c r="E40" s="6" t="s">
        <v>25</v>
      </c>
      <c r="F40" s="10" t="n">
        <v>2</v>
      </c>
      <c r="G40" s="12" t="n">
        <v>2</v>
      </c>
      <c r="H40" s="6" t="s">
        <v>25</v>
      </c>
      <c r="I40" s="6" t="s">
        <v>25</v>
      </c>
      <c r="J40" s="6" t="s">
        <v>25</v>
      </c>
      <c r="K40" s="6" t="s">
        <v>25</v>
      </c>
      <c r="L40" s="6" t="s">
        <v>25</v>
      </c>
      <c r="M40" s="6" t="s">
        <v>25</v>
      </c>
      <c r="N40" s="6" t="s">
        <v>25</v>
      </c>
      <c r="O40" s="6" t="s">
        <v>25</v>
      </c>
      <c r="P40" s="11" t="s">
        <v>35</v>
      </c>
      <c r="Q40" s="19" t="n">
        <v>54789</v>
      </c>
      <c r="R40" s="6" t="s">
        <v>25</v>
      </c>
      <c r="S40" s="11"/>
      <c r="T40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40" s="11"/>
    </row>
    <row r="41" customFormat="false" ht="16.15" hidden="false" customHeight="false" outlineLevel="0" collapsed="false">
      <c r="A41" s="4" t="s">
        <v>159</v>
      </c>
      <c r="B41" s="5" t="s">
        <v>160</v>
      </c>
      <c r="C41" s="9" t="s">
        <v>161</v>
      </c>
      <c r="D41" s="9" t="s">
        <v>161</v>
      </c>
      <c r="E41" s="6" t="s">
        <v>25</v>
      </c>
      <c r="F41" s="10" t="n">
        <v>1</v>
      </c>
      <c r="G41" s="12" t="n">
        <v>1</v>
      </c>
      <c r="H41" s="6" t="s">
        <v>25</v>
      </c>
      <c r="I41" s="6" t="s">
        <v>25</v>
      </c>
      <c r="J41" s="6" t="s">
        <v>25</v>
      </c>
      <c r="K41" s="6" t="s">
        <v>25</v>
      </c>
      <c r="L41" s="6" t="s">
        <v>25</v>
      </c>
      <c r="M41" s="6" t="s">
        <v>25</v>
      </c>
      <c r="N41" s="6" t="s">
        <v>25</v>
      </c>
      <c r="O41" s="6" t="s">
        <v>25</v>
      </c>
      <c r="P41" s="11" t="s">
        <v>39</v>
      </c>
      <c r="Q41" s="19" t="n">
        <v>54789</v>
      </c>
      <c r="R41" s="6" t="s">
        <v>25</v>
      </c>
      <c r="S41" s="11"/>
      <c r="T41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41" s="11"/>
    </row>
    <row r="42" customFormat="false" ht="16.15" hidden="false" customHeight="false" outlineLevel="0" collapsed="false">
      <c r="A42" s="4" t="s">
        <v>162</v>
      </c>
      <c r="B42" s="5" t="s">
        <v>163</v>
      </c>
      <c r="C42" s="9" t="s">
        <v>164</v>
      </c>
      <c r="D42" s="9" t="s">
        <v>164</v>
      </c>
      <c r="E42" s="6" t="s">
        <v>25</v>
      </c>
      <c r="F42" s="4" t="n">
        <v>0</v>
      </c>
      <c r="G42" s="12" t="n">
        <v>1</v>
      </c>
      <c r="H42" s="6" t="s">
        <v>25</v>
      </c>
      <c r="I42" s="6" t="s">
        <v>25</v>
      </c>
      <c r="J42" s="6" t="s">
        <v>25</v>
      </c>
      <c r="K42" s="6" t="s">
        <v>25</v>
      </c>
      <c r="L42" s="6" t="s">
        <v>25</v>
      </c>
      <c r="M42" s="6" t="s">
        <v>25</v>
      </c>
      <c r="N42" s="6" t="s">
        <v>25</v>
      </c>
      <c r="O42" s="6" t="s">
        <v>25</v>
      </c>
      <c r="P42" s="11" t="s">
        <v>43</v>
      </c>
      <c r="Q42" s="11" t="n">
        <v>43831</v>
      </c>
      <c r="R42" s="6" t="s">
        <v>25</v>
      </c>
      <c r="S42" s="11" t="n">
        <v>45292</v>
      </c>
      <c r="T42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42" s="11"/>
    </row>
    <row r="43" customFormat="false" ht="16.15" hidden="false" customHeight="false" outlineLevel="0" collapsed="false">
      <c r="A43" s="20" t="s">
        <v>165</v>
      </c>
      <c r="B43" s="21" t="s">
        <v>166</v>
      </c>
      <c r="C43" s="9" t="s">
        <v>167</v>
      </c>
      <c r="D43" s="9" t="s">
        <v>168</v>
      </c>
      <c r="E43" s="6" t="s">
        <v>25</v>
      </c>
      <c r="F43" s="20" t="n">
        <v>0</v>
      </c>
      <c r="G43" s="12" t="n">
        <v>2</v>
      </c>
      <c r="H43" s="6" t="s">
        <v>25</v>
      </c>
      <c r="I43" s="6" t="s">
        <v>25</v>
      </c>
      <c r="J43" s="6" t="s">
        <v>25</v>
      </c>
      <c r="K43" s="6" t="s">
        <v>25</v>
      </c>
      <c r="L43" s="6" t="s">
        <v>25</v>
      </c>
      <c r="M43" s="6" t="s">
        <v>25</v>
      </c>
      <c r="N43" s="6" t="s">
        <v>25</v>
      </c>
      <c r="O43" s="6" t="s">
        <v>25</v>
      </c>
      <c r="P43" s="11" t="s">
        <v>47</v>
      </c>
      <c r="Q43" s="11" t="n">
        <v>43831</v>
      </c>
      <c r="R43" s="6" t="s">
        <v>25</v>
      </c>
      <c r="S43" s="11" t="n">
        <v>45292</v>
      </c>
      <c r="T43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43" s="11"/>
    </row>
    <row r="44" customFormat="false" ht="16.15" hidden="false" customHeight="false" outlineLevel="0" collapsed="false">
      <c r="A44" s="20" t="s">
        <v>169</v>
      </c>
      <c r="B44" s="21" t="s">
        <v>170</v>
      </c>
      <c r="C44" s="9" t="s">
        <v>171</v>
      </c>
      <c r="D44" s="9" t="s">
        <v>171</v>
      </c>
      <c r="E44" s="6" t="s">
        <v>25</v>
      </c>
      <c r="F44" s="20" t="n">
        <v>0</v>
      </c>
      <c r="G44" s="12" t="n">
        <v>2</v>
      </c>
      <c r="H44" s="6" t="s">
        <v>25</v>
      </c>
      <c r="I44" s="6" t="s">
        <v>25</v>
      </c>
      <c r="J44" s="6" t="s">
        <v>25</v>
      </c>
      <c r="K44" s="6" t="s">
        <v>25</v>
      </c>
      <c r="L44" s="6" t="s">
        <v>25</v>
      </c>
      <c r="M44" s="6" t="s">
        <v>25</v>
      </c>
      <c r="N44" s="6" t="s">
        <v>25</v>
      </c>
      <c r="O44" s="6" t="s">
        <v>25</v>
      </c>
      <c r="P44" s="11" t="s">
        <v>26</v>
      </c>
      <c r="Q44" s="11" t="n">
        <v>43831</v>
      </c>
      <c r="R44" s="6" t="s">
        <v>25</v>
      </c>
      <c r="S44" s="11" t="n">
        <v>45658</v>
      </c>
      <c r="T44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44" s="11"/>
    </row>
    <row r="45" customFormat="false" ht="16.15" hidden="false" customHeight="false" outlineLevel="0" collapsed="false">
      <c r="A45" s="20" t="s">
        <v>172</v>
      </c>
      <c r="B45" s="21" t="s">
        <v>173</v>
      </c>
      <c r="C45" s="9" t="s">
        <v>174</v>
      </c>
      <c r="D45" s="9" t="s">
        <v>174</v>
      </c>
      <c r="E45" s="6" t="s">
        <v>25</v>
      </c>
      <c r="F45" s="4" t="n">
        <v>0</v>
      </c>
      <c r="G45" s="12" t="n">
        <v>3</v>
      </c>
      <c r="H45" s="6" t="s">
        <v>25</v>
      </c>
      <c r="I45" s="6" t="s">
        <v>25</v>
      </c>
      <c r="J45" s="6" t="s">
        <v>25</v>
      </c>
      <c r="K45" s="6" t="s">
        <v>25</v>
      </c>
      <c r="L45" s="6" t="s">
        <v>25</v>
      </c>
      <c r="M45" s="6" t="s">
        <v>25</v>
      </c>
      <c r="N45" s="6" t="s">
        <v>25</v>
      </c>
      <c r="O45" s="6" t="s">
        <v>25</v>
      </c>
      <c r="P45" s="11" t="s">
        <v>30</v>
      </c>
      <c r="Q45" s="11" t="n">
        <v>43831</v>
      </c>
      <c r="R45" s="6" t="s">
        <v>25</v>
      </c>
      <c r="S45" s="11" t="n">
        <v>45658</v>
      </c>
      <c r="T45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45" s="11"/>
    </row>
    <row r="46" customFormat="false" ht="16.15" hidden="false" customHeight="false" outlineLevel="0" collapsed="false">
      <c r="A46" s="22" t="s">
        <v>175</v>
      </c>
      <c r="B46" s="23" t="s">
        <v>134</v>
      </c>
      <c r="C46" s="16" t="s">
        <v>135</v>
      </c>
      <c r="D46" s="16" t="s">
        <v>136</v>
      </c>
      <c r="E46" s="6" t="s">
        <v>25</v>
      </c>
      <c r="F46" s="20" t="n">
        <v>0</v>
      </c>
      <c r="G46" s="12" t="n">
        <v>1</v>
      </c>
      <c r="H46" s="6" t="s">
        <v>25</v>
      </c>
      <c r="I46" s="6" t="s">
        <v>25</v>
      </c>
      <c r="J46" s="6" t="s">
        <v>25</v>
      </c>
      <c r="K46" s="6" t="s">
        <v>25</v>
      </c>
      <c r="L46" s="6" t="s">
        <v>25</v>
      </c>
      <c r="M46" s="6" t="s">
        <v>25</v>
      </c>
      <c r="N46" s="6" t="s">
        <v>25</v>
      </c>
      <c r="O46" s="6" t="s">
        <v>25</v>
      </c>
      <c r="P46" s="11" t="s">
        <v>35</v>
      </c>
      <c r="Q46" s="11" t="n">
        <v>43831</v>
      </c>
      <c r="R46" s="6" t="s">
        <v>25</v>
      </c>
      <c r="S46" s="11"/>
      <c r="T46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46" s="11"/>
    </row>
    <row r="47" customFormat="false" ht="16.15" hidden="false" customHeight="false" outlineLevel="0" collapsed="false">
      <c r="A47" s="20" t="s">
        <v>176</v>
      </c>
      <c r="B47" s="21" t="s">
        <v>177</v>
      </c>
      <c r="C47" s="9" t="s">
        <v>178</v>
      </c>
      <c r="D47" s="9" t="s">
        <v>178</v>
      </c>
      <c r="E47" s="6" t="s">
        <v>25</v>
      </c>
      <c r="F47" s="20" t="n">
        <v>0</v>
      </c>
      <c r="G47" s="12" t="n">
        <v>1</v>
      </c>
      <c r="H47" s="6" t="s">
        <v>25</v>
      </c>
      <c r="I47" s="6" t="s">
        <v>25</v>
      </c>
      <c r="J47" s="6" t="s">
        <v>25</v>
      </c>
      <c r="K47" s="6" t="s">
        <v>25</v>
      </c>
      <c r="L47" s="6" t="s">
        <v>25</v>
      </c>
      <c r="M47" s="6" t="s">
        <v>25</v>
      </c>
      <c r="N47" s="6" t="s">
        <v>25</v>
      </c>
      <c r="O47" s="6" t="s">
        <v>25</v>
      </c>
      <c r="P47" s="11" t="s">
        <v>39</v>
      </c>
      <c r="Q47" s="11" t="n">
        <v>43831</v>
      </c>
      <c r="R47" s="6" t="s">
        <v>25</v>
      </c>
      <c r="S47" s="11"/>
      <c r="T47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47" s="11"/>
    </row>
    <row r="48" customFormat="false" ht="16.15" hidden="false" customHeight="false" outlineLevel="0" collapsed="false">
      <c r="A48" s="20" t="s">
        <v>179</v>
      </c>
      <c r="B48" s="21" t="s">
        <v>180</v>
      </c>
      <c r="C48" s="9" t="s">
        <v>68</v>
      </c>
      <c r="D48" s="9" t="s">
        <v>181</v>
      </c>
      <c r="E48" s="6" t="s">
        <v>25</v>
      </c>
      <c r="F48" s="4" t="n">
        <v>0</v>
      </c>
      <c r="G48" s="12" t="n">
        <v>1</v>
      </c>
      <c r="H48" s="6" t="s">
        <v>25</v>
      </c>
      <c r="I48" s="6" t="s">
        <v>25</v>
      </c>
      <c r="J48" s="6" t="s">
        <v>25</v>
      </c>
      <c r="K48" s="6" t="s">
        <v>25</v>
      </c>
      <c r="L48" s="6" t="s">
        <v>25</v>
      </c>
      <c r="M48" s="6" t="s">
        <v>25</v>
      </c>
      <c r="N48" s="6" t="s">
        <v>25</v>
      </c>
      <c r="O48" s="6" t="s">
        <v>25</v>
      </c>
      <c r="P48" s="11" t="s">
        <v>43</v>
      </c>
      <c r="Q48" s="11" t="n">
        <v>43831</v>
      </c>
      <c r="R48" s="6" t="s">
        <v>25</v>
      </c>
      <c r="S48" s="11"/>
      <c r="T48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48" s="11"/>
    </row>
    <row r="49" customFormat="false" ht="16.15" hidden="false" customHeight="false" outlineLevel="0" collapsed="false">
      <c r="A49" s="20" t="s">
        <v>182</v>
      </c>
      <c r="B49" s="21" t="s">
        <v>183</v>
      </c>
      <c r="C49" s="9" t="s">
        <v>184</v>
      </c>
      <c r="D49" s="9" t="s">
        <v>185</v>
      </c>
      <c r="E49" s="6" t="s">
        <v>25</v>
      </c>
      <c r="F49" s="20" t="n">
        <v>0</v>
      </c>
      <c r="G49" s="12" t="n">
        <v>1</v>
      </c>
      <c r="H49" s="6" t="s">
        <v>25</v>
      </c>
      <c r="I49" s="6" t="s">
        <v>25</v>
      </c>
      <c r="J49" s="6" t="s">
        <v>25</v>
      </c>
      <c r="K49" s="6" t="s">
        <v>25</v>
      </c>
      <c r="L49" s="6" t="s">
        <v>25</v>
      </c>
      <c r="M49" s="6" t="s">
        <v>25</v>
      </c>
      <c r="N49" s="6" t="s">
        <v>25</v>
      </c>
      <c r="O49" s="6" t="s">
        <v>25</v>
      </c>
      <c r="P49" s="11" t="s">
        <v>47</v>
      </c>
      <c r="Q49" s="11" t="n">
        <v>43831</v>
      </c>
      <c r="R49" s="6" t="s">
        <v>25</v>
      </c>
      <c r="S49" s="11"/>
      <c r="T49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49" s="11"/>
    </row>
    <row r="50" customFormat="false" ht="16.15" hidden="false" customHeight="false" outlineLevel="0" collapsed="false">
      <c r="A50" s="20" t="s">
        <v>186</v>
      </c>
      <c r="B50" s="21" t="s">
        <v>187</v>
      </c>
      <c r="C50" s="9" t="s">
        <v>188</v>
      </c>
      <c r="D50" s="9" t="s">
        <v>189</v>
      </c>
      <c r="E50" s="6" t="s">
        <v>25</v>
      </c>
      <c r="F50" s="20" t="n">
        <v>0</v>
      </c>
      <c r="G50" s="12" t="n">
        <v>2</v>
      </c>
      <c r="H50" s="6" t="s">
        <v>25</v>
      </c>
      <c r="I50" s="6" t="s">
        <v>25</v>
      </c>
      <c r="J50" s="6" t="s">
        <v>25</v>
      </c>
      <c r="K50" s="6" t="s">
        <v>25</v>
      </c>
      <c r="L50" s="6" t="s">
        <v>25</v>
      </c>
      <c r="M50" s="6" t="s">
        <v>25</v>
      </c>
      <c r="N50" s="6" t="s">
        <v>25</v>
      </c>
      <c r="O50" s="6" t="s">
        <v>25</v>
      </c>
      <c r="P50" s="11" t="s">
        <v>26</v>
      </c>
      <c r="Q50" s="11" t="n">
        <v>43831</v>
      </c>
      <c r="R50" s="6" t="s">
        <v>25</v>
      </c>
      <c r="S50" s="11"/>
      <c r="T50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50" s="11"/>
    </row>
    <row r="51" customFormat="false" ht="16.15" hidden="false" customHeight="false" outlineLevel="0" collapsed="false">
      <c r="A51" s="20" t="s">
        <v>190</v>
      </c>
      <c r="B51" s="21" t="s">
        <v>191</v>
      </c>
      <c r="C51" s="9" t="s">
        <v>192</v>
      </c>
      <c r="D51" s="9" t="s">
        <v>192</v>
      </c>
      <c r="E51" s="6" t="s">
        <v>25</v>
      </c>
      <c r="F51" s="4" t="n">
        <v>0</v>
      </c>
      <c r="G51" s="12" t="n">
        <v>2</v>
      </c>
      <c r="H51" s="6" t="s">
        <v>25</v>
      </c>
      <c r="I51" s="6" t="s">
        <v>25</v>
      </c>
      <c r="J51" s="6" t="s">
        <v>25</v>
      </c>
      <c r="K51" s="6" t="s">
        <v>25</v>
      </c>
      <c r="L51" s="6" t="s">
        <v>25</v>
      </c>
      <c r="M51" s="6" t="s">
        <v>25</v>
      </c>
      <c r="N51" s="6" t="s">
        <v>25</v>
      </c>
      <c r="O51" s="6" t="s">
        <v>25</v>
      </c>
      <c r="P51" s="11" t="s">
        <v>30</v>
      </c>
      <c r="Q51" s="11" t="n">
        <v>43831</v>
      </c>
      <c r="R51" s="6" t="s">
        <v>25</v>
      </c>
      <c r="S51" s="11"/>
      <c r="T51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51" s="11"/>
    </row>
    <row r="52" customFormat="false" ht="16.15" hidden="false" customHeight="false" outlineLevel="0" collapsed="false">
      <c r="A52" s="20" t="s">
        <v>193</v>
      </c>
      <c r="B52" s="21" t="s">
        <v>194</v>
      </c>
      <c r="C52" s="9" t="s">
        <v>195</v>
      </c>
      <c r="D52" s="9" t="s">
        <v>195</v>
      </c>
      <c r="E52" s="6" t="s">
        <v>25</v>
      </c>
      <c r="F52" s="20" t="n">
        <v>0</v>
      </c>
      <c r="G52" s="12" t="n">
        <v>3</v>
      </c>
      <c r="H52" s="6" t="s">
        <v>25</v>
      </c>
      <c r="I52" s="6" t="s">
        <v>25</v>
      </c>
      <c r="J52" s="6" t="s">
        <v>25</v>
      </c>
      <c r="K52" s="6" t="s">
        <v>25</v>
      </c>
      <c r="L52" s="6" t="s">
        <v>25</v>
      </c>
      <c r="M52" s="6" t="s">
        <v>25</v>
      </c>
      <c r="N52" s="6" t="s">
        <v>25</v>
      </c>
      <c r="O52" s="6" t="s">
        <v>25</v>
      </c>
      <c r="P52" s="11" t="s">
        <v>35</v>
      </c>
      <c r="Q52" s="11" t="n">
        <v>43831</v>
      </c>
      <c r="R52" s="6" t="s">
        <v>25</v>
      </c>
      <c r="S52" s="11"/>
      <c r="T52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52" s="11"/>
    </row>
    <row r="53" customFormat="false" ht="16.15" hidden="false" customHeight="false" outlineLevel="0" collapsed="false">
      <c r="A53" s="20" t="s">
        <v>196</v>
      </c>
      <c r="B53" s="21" t="s">
        <v>197</v>
      </c>
      <c r="C53" s="9" t="s">
        <v>23</v>
      </c>
      <c r="D53" s="9" t="s">
        <v>198</v>
      </c>
      <c r="E53" s="6" t="s">
        <v>25</v>
      </c>
      <c r="F53" s="20" t="n">
        <v>0</v>
      </c>
      <c r="G53" s="12" t="n">
        <v>1</v>
      </c>
      <c r="H53" s="6" t="s">
        <v>25</v>
      </c>
      <c r="I53" s="6" t="s">
        <v>25</v>
      </c>
      <c r="J53" s="6" t="s">
        <v>25</v>
      </c>
      <c r="K53" s="6" t="s">
        <v>25</v>
      </c>
      <c r="L53" s="6" t="s">
        <v>25</v>
      </c>
      <c r="M53" s="6" t="s">
        <v>25</v>
      </c>
      <c r="N53" s="6" t="s">
        <v>25</v>
      </c>
      <c r="O53" s="6" t="s">
        <v>25</v>
      </c>
      <c r="P53" s="11" t="s">
        <v>39</v>
      </c>
      <c r="Q53" s="11" t="n">
        <v>43831</v>
      </c>
      <c r="R53" s="6" t="s">
        <v>25</v>
      </c>
      <c r="S53" s="11"/>
      <c r="T53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53" s="11"/>
    </row>
    <row r="54" customFormat="false" ht="16.15" hidden="false" customHeight="false" outlineLevel="0" collapsed="false">
      <c r="A54" s="20" t="s">
        <v>199</v>
      </c>
      <c r="B54" s="21" t="s">
        <v>200</v>
      </c>
      <c r="C54" s="9" t="s">
        <v>23</v>
      </c>
      <c r="D54" s="9" t="s">
        <v>201</v>
      </c>
      <c r="E54" s="6" t="s">
        <v>25</v>
      </c>
      <c r="F54" s="4" t="n">
        <v>0</v>
      </c>
      <c r="G54" s="12" t="n">
        <v>1</v>
      </c>
      <c r="H54" s="6" t="s">
        <v>25</v>
      </c>
      <c r="I54" s="6" t="s">
        <v>25</v>
      </c>
      <c r="J54" s="6" t="s">
        <v>25</v>
      </c>
      <c r="K54" s="6" t="s">
        <v>25</v>
      </c>
      <c r="L54" s="6" t="s">
        <v>25</v>
      </c>
      <c r="M54" s="6" t="s">
        <v>25</v>
      </c>
      <c r="N54" s="6" t="s">
        <v>25</v>
      </c>
      <c r="O54" s="6" t="s">
        <v>25</v>
      </c>
      <c r="P54" s="11" t="s">
        <v>43</v>
      </c>
      <c r="Q54" s="11" t="n">
        <v>43831</v>
      </c>
      <c r="R54" s="6" t="s">
        <v>25</v>
      </c>
      <c r="S54" s="11"/>
      <c r="T54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54" s="11"/>
    </row>
    <row r="55" customFormat="false" ht="16.15" hidden="false" customHeight="false" outlineLevel="0" collapsed="false">
      <c r="A55" s="20" t="s">
        <v>202</v>
      </c>
      <c r="B55" s="21" t="s">
        <v>203</v>
      </c>
      <c r="C55" s="9" t="s">
        <v>23</v>
      </c>
      <c r="D55" s="9" t="s">
        <v>204</v>
      </c>
      <c r="E55" s="6" t="s">
        <v>25</v>
      </c>
      <c r="F55" s="20" t="n">
        <v>0</v>
      </c>
      <c r="G55" s="12" t="n">
        <v>1</v>
      </c>
      <c r="H55" s="6" t="s">
        <v>25</v>
      </c>
      <c r="I55" s="6" t="s">
        <v>25</v>
      </c>
      <c r="J55" s="6" t="s">
        <v>25</v>
      </c>
      <c r="K55" s="6" t="s">
        <v>25</v>
      </c>
      <c r="L55" s="6" t="s">
        <v>25</v>
      </c>
      <c r="M55" s="6" t="s">
        <v>25</v>
      </c>
      <c r="N55" s="6" t="s">
        <v>25</v>
      </c>
      <c r="O55" s="6" t="s">
        <v>25</v>
      </c>
      <c r="P55" s="11" t="s">
        <v>47</v>
      </c>
      <c r="Q55" s="11" t="n">
        <v>43831</v>
      </c>
      <c r="R55" s="6" t="s">
        <v>25</v>
      </c>
      <c r="S55" s="11"/>
      <c r="T55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55" s="11"/>
    </row>
    <row r="56" customFormat="false" ht="16.15" hidden="false" customHeight="false" outlineLevel="0" collapsed="false">
      <c r="A56" s="20" t="s">
        <v>205</v>
      </c>
      <c r="B56" s="21" t="s">
        <v>206</v>
      </c>
      <c r="C56" s="9" t="s">
        <v>207</v>
      </c>
      <c r="D56" s="9" t="s">
        <v>207</v>
      </c>
      <c r="E56" s="6" t="s">
        <v>25</v>
      </c>
      <c r="F56" s="20" t="n">
        <v>0</v>
      </c>
      <c r="G56" s="12" t="n">
        <v>1</v>
      </c>
      <c r="H56" s="6" t="s">
        <v>25</v>
      </c>
      <c r="I56" s="6" t="s">
        <v>25</v>
      </c>
      <c r="J56" s="6" t="s">
        <v>25</v>
      </c>
      <c r="K56" s="6" t="s">
        <v>25</v>
      </c>
      <c r="L56" s="6" t="s">
        <v>25</v>
      </c>
      <c r="M56" s="6" t="s">
        <v>25</v>
      </c>
      <c r="N56" s="6" t="s">
        <v>25</v>
      </c>
      <c r="O56" s="6" t="s">
        <v>25</v>
      </c>
      <c r="P56" s="11" t="s">
        <v>26</v>
      </c>
      <c r="Q56" s="11" t="n">
        <v>43831</v>
      </c>
      <c r="R56" s="6" t="s">
        <v>25</v>
      </c>
      <c r="S56" s="11"/>
      <c r="T56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56" s="11"/>
    </row>
    <row r="57" customFormat="false" ht="16.15" hidden="false" customHeight="false" outlineLevel="0" collapsed="false">
      <c r="A57" s="20" t="s">
        <v>208</v>
      </c>
      <c r="B57" s="21" t="s">
        <v>209</v>
      </c>
      <c r="C57" s="9" t="s">
        <v>210</v>
      </c>
      <c r="D57" s="9" t="s">
        <v>211</v>
      </c>
      <c r="E57" s="6" t="s">
        <v>25</v>
      </c>
      <c r="F57" s="4" t="n">
        <v>0</v>
      </c>
      <c r="G57" s="12" t="n">
        <v>1</v>
      </c>
      <c r="H57" s="6" t="s">
        <v>25</v>
      </c>
      <c r="I57" s="6" t="s">
        <v>25</v>
      </c>
      <c r="J57" s="6" t="s">
        <v>25</v>
      </c>
      <c r="K57" s="6" t="s">
        <v>25</v>
      </c>
      <c r="L57" s="6" t="s">
        <v>25</v>
      </c>
      <c r="M57" s="6" t="s">
        <v>25</v>
      </c>
      <c r="N57" s="6" t="s">
        <v>25</v>
      </c>
      <c r="O57" s="6" t="s">
        <v>25</v>
      </c>
      <c r="P57" s="11" t="s">
        <v>30</v>
      </c>
      <c r="Q57" s="11" t="n">
        <v>43831</v>
      </c>
      <c r="R57" s="6" t="s">
        <v>25</v>
      </c>
      <c r="S57" s="11"/>
      <c r="T57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57" s="11"/>
    </row>
    <row r="58" customFormat="false" ht="16.15" hidden="false" customHeight="false" outlineLevel="0" collapsed="false">
      <c r="A58" s="20" t="s">
        <v>212</v>
      </c>
      <c r="B58" s="21" t="s">
        <v>213</v>
      </c>
      <c r="C58" s="9" t="s">
        <v>214</v>
      </c>
      <c r="D58" s="9" t="s">
        <v>214</v>
      </c>
      <c r="E58" s="6" t="s">
        <v>25</v>
      </c>
      <c r="F58" s="20" t="n">
        <v>0</v>
      </c>
      <c r="G58" s="12" t="n">
        <v>1</v>
      </c>
      <c r="H58" s="6" t="s">
        <v>25</v>
      </c>
      <c r="I58" s="6" t="s">
        <v>25</v>
      </c>
      <c r="J58" s="6" t="s">
        <v>25</v>
      </c>
      <c r="K58" s="6" t="s">
        <v>25</v>
      </c>
      <c r="L58" s="6" t="s">
        <v>25</v>
      </c>
      <c r="M58" s="6" t="s">
        <v>25</v>
      </c>
      <c r="N58" s="6" t="s">
        <v>25</v>
      </c>
      <c r="O58" s="6" t="s">
        <v>25</v>
      </c>
      <c r="P58" s="11" t="s">
        <v>35</v>
      </c>
      <c r="Q58" s="11" t="n">
        <v>43831</v>
      </c>
      <c r="R58" s="6" t="s">
        <v>25</v>
      </c>
      <c r="S58" s="11"/>
      <c r="T58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58" s="11"/>
    </row>
    <row r="59" customFormat="false" ht="16.15" hidden="false" customHeight="false" outlineLevel="0" collapsed="false">
      <c r="A59" s="20" t="s">
        <v>215</v>
      </c>
      <c r="B59" s="21" t="s">
        <v>216</v>
      </c>
      <c r="C59" s="9" t="s">
        <v>201</v>
      </c>
      <c r="D59" s="9" t="s">
        <v>201</v>
      </c>
      <c r="E59" s="6" t="s">
        <v>25</v>
      </c>
      <c r="F59" s="20" t="n">
        <v>0</v>
      </c>
      <c r="G59" s="12" t="n">
        <v>1</v>
      </c>
      <c r="H59" s="6" t="s">
        <v>25</v>
      </c>
      <c r="I59" s="6" t="s">
        <v>25</v>
      </c>
      <c r="J59" s="6" t="s">
        <v>25</v>
      </c>
      <c r="K59" s="6" t="s">
        <v>25</v>
      </c>
      <c r="L59" s="6" t="s">
        <v>25</v>
      </c>
      <c r="M59" s="6" t="s">
        <v>25</v>
      </c>
      <c r="N59" s="6" t="s">
        <v>25</v>
      </c>
      <c r="O59" s="6" t="s">
        <v>25</v>
      </c>
      <c r="P59" s="11" t="s">
        <v>39</v>
      </c>
      <c r="Q59" s="11" t="n">
        <v>43831</v>
      </c>
      <c r="R59" s="6" t="s">
        <v>25</v>
      </c>
      <c r="S59" s="11"/>
      <c r="T59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59" s="11"/>
    </row>
    <row r="60" customFormat="false" ht="16.15" hidden="false" customHeight="false" outlineLevel="0" collapsed="false">
      <c r="A60" s="20" t="s">
        <v>217</v>
      </c>
      <c r="B60" s="21" t="s">
        <v>218</v>
      </c>
      <c r="C60" s="9" t="s">
        <v>219</v>
      </c>
      <c r="D60" s="9" t="s">
        <v>220</v>
      </c>
      <c r="E60" s="6" t="s">
        <v>25</v>
      </c>
      <c r="F60" s="4" t="n">
        <v>0</v>
      </c>
      <c r="G60" s="12" t="n">
        <v>1</v>
      </c>
      <c r="H60" s="6" t="s">
        <v>25</v>
      </c>
      <c r="I60" s="6" t="s">
        <v>25</v>
      </c>
      <c r="J60" s="6" t="s">
        <v>25</v>
      </c>
      <c r="K60" s="6" t="s">
        <v>25</v>
      </c>
      <c r="L60" s="6" t="s">
        <v>25</v>
      </c>
      <c r="M60" s="6" t="s">
        <v>25</v>
      </c>
      <c r="N60" s="6" t="s">
        <v>25</v>
      </c>
      <c r="O60" s="6" t="s">
        <v>25</v>
      </c>
      <c r="P60" s="11" t="s">
        <v>43</v>
      </c>
      <c r="Q60" s="11" t="n">
        <v>43831</v>
      </c>
      <c r="R60" s="6" t="s">
        <v>25</v>
      </c>
      <c r="S60" s="11"/>
      <c r="T60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0" s="11"/>
    </row>
    <row r="61" customFormat="false" ht="16.15" hidden="false" customHeight="false" outlineLevel="0" collapsed="false">
      <c r="A61" s="20" t="s">
        <v>221</v>
      </c>
      <c r="B61" s="21" t="s">
        <v>222</v>
      </c>
      <c r="C61" s="9" t="s">
        <v>223</v>
      </c>
      <c r="D61" s="9" t="s">
        <v>224</v>
      </c>
      <c r="E61" s="6" t="s">
        <v>25</v>
      </c>
      <c r="F61" s="20" t="n">
        <v>0</v>
      </c>
      <c r="G61" s="12" t="n">
        <v>1</v>
      </c>
      <c r="H61" s="6" t="s">
        <v>25</v>
      </c>
      <c r="I61" s="6" t="s">
        <v>25</v>
      </c>
      <c r="J61" s="6" t="s">
        <v>25</v>
      </c>
      <c r="K61" s="6" t="s">
        <v>25</v>
      </c>
      <c r="L61" s="6" t="s">
        <v>25</v>
      </c>
      <c r="M61" s="6" t="s">
        <v>25</v>
      </c>
      <c r="N61" s="6" t="s">
        <v>25</v>
      </c>
      <c r="O61" s="6" t="s">
        <v>25</v>
      </c>
      <c r="P61" s="11" t="s">
        <v>47</v>
      </c>
      <c r="Q61" s="11" t="n">
        <v>43831</v>
      </c>
      <c r="R61" s="6" t="s">
        <v>25</v>
      </c>
      <c r="S61" s="11"/>
      <c r="T61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1" s="11"/>
    </row>
    <row r="62" customFormat="false" ht="16.15" hidden="false" customHeight="false" outlineLevel="0" collapsed="false">
      <c r="A62" s="20" t="s">
        <v>225</v>
      </c>
      <c r="B62" s="21" t="s">
        <v>226</v>
      </c>
      <c r="C62" s="9" t="s">
        <v>227</v>
      </c>
      <c r="D62" s="9" t="s">
        <v>227</v>
      </c>
      <c r="E62" s="6" t="s">
        <v>25</v>
      </c>
      <c r="F62" s="20" t="n">
        <v>0</v>
      </c>
      <c r="G62" s="12" t="n">
        <v>1</v>
      </c>
      <c r="H62" s="6" t="s">
        <v>25</v>
      </c>
      <c r="I62" s="6" t="s">
        <v>25</v>
      </c>
      <c r="J62" s="6" t="s">
        <v>25</v>
      </c>
      <c r="K62" s="6" t="s">
        <v>25</v>
      </c>
      <c r="L62" s="6" t="s">
        <v>25</v>
      </c>
      <c r="M62" s="6" t="s">
        <v>25</v>
      </c>
      <c r="N62" s="6" t="s">
        <v>25</v>
      </c>
      <c r="O62" s="6" t="s">
        <v>25</v>
      </c>
      <c r="P62" s="11" t="s">
        <v>26</v>
      </c>
      <c r="Q62" s="11" t="n">
        <v>43831</v>
      </c>
      <c r="R62" s="6" t="s">
        <v>25</v>
      </c>
      <c r="S62" s="11"/>
      <c r="T62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2" s="11"/>
    </row>
    <row r="63" customFormat="false" ht="16.15" hidden="false" customHeight="false" outlineLevel="0" collapsed="false">
      <c r="A63" s="20" t="s">
        <v>228</v>
      </c>
      <c r="B63" s="21" t="s">
        <v>229</v>
      </c>
      <c r="C63" s="9" t="s">
        <v>230</v>
      </c>
      <c r="D63" s="9" t="s">
        <v>231</v>
      </c>
      <c r="E63" s="6" t="s">
        <v>25</v>
      </c>
      <c r="F63" s="4" t="n">
        <v>0</v>
      </c>
      <c r="G63" s="12" t="n">
        <v>1</v>
      </c>
      <c r="H63" s="6" t="s">
        <v>25</v>
      </c>
      <c r="I63" s="6" t="s">
        <v>25</v>
      </c>
      <c r="J63" s="6" t="s">
        <v>25</v>
      </c>
      <c r="K63" s="6" t="s">
        <v>25</v>
      </c>
      <c r="L63" s="6" t="s">
        <v>25</v>
      </c>
      <c r="M63" s="6" t="s">
        <v>25</v>
      </c>
      <c r="N63" s="6" t="s">
        <v>25</v>
      </c>
      <c r="O63" s="6" t="s">
        <v>25</v>
      </c>
      <c r="P63" s="11" t="s">
        <v>30</v>
      </c>
      <c r="Q63" s="11" t="n">
        <v>43831</v>
      </c>
      <c r="R63" s="6" t="s">
        <v>25</v>
      </c>
      <c r="S63" s="11"/>
      <c r="T63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3" s="11"/>
    </row>
    <row r="64" customFormat="false" ht="16.15" hidden="false" customHeight="false" outlineLevel="0" collapsed="false">
      <c r="A64" s="20" t="s">
        <v>232</v>
      </c>
      <c r="B64" s="21" t="s">
        <v>233</v>
      </c>
      <c r="C64" s="9" t="s">
        <v>234</v>
      </c>
      <c r="D64" s="9" t="s">
        <v>235</v>
      </c>
      <c r="E64" s="6" t="s">
        <v>25</v>
      </c>
      <c r="F64" s="20" t="n">
        <v>0</v>
      </c>
      <c r="G64" s="12" t="n">
        <v>1</v>
      </c>
      <c r="H64" s="6" t="s">
        <v>25</v>
      </c>
      <c r="I64" s="6" t="s">
        <v>25</v>
      </c>
      <c r="J64" s="6" t="s">
        <v>25</v>
      </c>
      <c r="K64" s="6" t="s">
        <v>25</v>
      </c>
      <c r="L64" s="6" t="s">
        <v>25</v>
      </c>
      <c r="M64" s="6" t="s">
        <v>25</v>
      </c>
      <c r="N64" s="6" t="s">
        <v>25</v>
      </c>
      <c r="O64" s="6" t="s">
        <v>25</v>
      </c>
      <c r="P64" s="11" t="s">
        <v>35</v>
      </c>
      <c r="Q64" s="11" t="n">
        <v>43831</v>
      </c>
      <c r="R64" s="6" t="s">
        <v>25</v>
      </c>
      <c r="S64" s="11"/>
      <c r="T64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4" s="11"/>
    </row>
    <row r="65" customFormat="false" ht="16.15" hidden="false" customHeight="false" outlineLevel="0" collapsed="false">
      <c r="A65" s="20" t="s">
        <v>236</v>
      </c>
      <c r="B65" s="21" t="s">
        <v>237</v>
      </c>
      <c r="C65" s="9" t="s">
        <v>238</v>
      </c>
      <c r="D65" s="9" t="s">
        <v>238</v>
      </c>
      <c r="E65" s="6" t="s">
        <v>25</v>
      </c>
      <c r="F65" s="20" t="n">
        <v>0</v>
      </c>
      <c r="G65" s="12" t="n">
        <v>1</v>
      </c>
      <c r="H65" s="6" t="s">
        <v>25</v>
      </c>
      <c r="I65" s="6" t="s">
        <v>25</v>
      </c>
      <c r="J65" s="6" t="s">
        <v>25</v>
      </c>
      <c r="K65" s="6" t="s">
        <v>25</v>
      </c>
      <c r="L65" s="6" t="s">
        <v>25</v>
      </c>
      <c r="M65" s="6" t="s">
        <v>25</v>
      </c>
      <c r="N65" s="6" t="s">
        <v>25</v>
      </c>
      <c r="O65" s="6" t="s">
        <v>25</v>
      </c>
      <c r="P65" s="11" t="s">
        <v>39</v>
      </c>
      <c r="Q65" s="11" t="n">
        <v>43831</v>
      </c>
      <c r="R65" s="6" t="s">
        <v>25</v>
      </c>
      <c r="S65" s="11"/>
      <c r="T65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5" s="11"/>
    </row>
    <row r="66" customFormat="false" ht="16.15" hidden="false" customHeight="false" outlineLevel="0" collapsed="false">
      <c r="A66" s="20" t="s">
        <v>239</v>
      </c>
      <c r="B66" s="21" t="s">
        <v>240</v>
      </c>
      <c r="C66" s="9" t="s">
        <v>241</v>
      </c>
      <c r="D66" s="9" t="s">
        <v>242</v>
      </c>
      <c r="E66" s="6" t="s">
        <v>25</v>
      </c>
      <c r="F66" s="4" t="n">
        <v>0</v>
      </c>
      <c r="G66" s="12" t="n">
        <v>1</v>
      </c>
      <c r="H66" s="6" t="s">
        <v>25</v>
      </c>
      <c r="I66" s="6" t="s">
        <v>25</v>
      </c>
      <c r="J66" s="6" t="s">
        <v>25</v>
      </c>
      <c r="K66" s="6" t="s">
        <v>25</v>
      </c>
      <c r="L66" s="6" t="s">
        <v>25</v>
      </c>
      <c r="M66" s="6" t="s">
        <v>25</v>
      </c>
      <c r="N66" s="6" t="s">
        <v>25</v>
      </c>
      <c r="O66" s="6" t="s">
        <v>25</v>
      </c>
      <c r="P66" s="11" t="s">
        <v>43</v>
      </c>
      <c r="Q66" s="11" t="n">
        <v>43831</v>
      </c>
      <c r="R66" s="6" t="s">
        <v>25</v>
      </c>
      <c r="S66" s="11"/>
      <c r="T66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6" s="11"/>
    </row>
    <row r="67" customFormat="false" ht="16.15" hidden="false" customHeight="false" outlineLevel="0" collapsed="false">
      <c r="A67" s="20" t="s">
        <v>243</v>
      </c>
      <c r="B67" s="21" t="s">
        <v>244</v>
      </c>
      <c r="C67" s="9" t="s">
        <v>245</v>
      </c>
      <c r="D67" s="9" t="s">
        <v>245</v>
      </c>
      <c r="E67" s="6" t="s">
        <v>25</v>
      </c>
      <c r="F67" s="20" t="n">
        <v>0</v>
      </c>
      <c r="G67" s="12" t="n">
        <v>1</v>
      </c>
      <c r="H67" s="6" t="s">
        <v>25</v>
      </c>
      <c r="I67" s="6" t="s">
        <v>25</v>
      </c>
      <c r="J67" s="6" t="s">
        <v>25</v>
      </c>
      <c r="K67" s="6" t="s">
        <v>25</v>
      </c>
      <c r="L67" s="6" t="s">
        <v>25</v>
      </c>
      <c r="M67" s="6" t="s">
        <v>25</v>
      </c>
      <c r="N67" s="6" t="s">
        <v>25</v>
      </c>
      <c r="O67" s="6" t="s">
        <v>25</v>
      </c>
      <c r="P67" s="11" t="s">
        <v>47</v>
      </c>
      <c r="Q67" s="11" t="n">
        <v>43831</v>
      </c>
      <c r="R67" s="6" t="s">
        <v>25</v>
      </c>
      <c r="S67" s="11"/>
      <c r="T67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7" s="11"/>
    </row>
    <row r="68" customFormat="false" ht="16.15" hidden="false" customHeight="false" outlineLevel="0" collapsed="false">
      <c r="A68" s="20" t="s">
        <v>246</v>
      </c>
      <c r="B68" s="21" t="s">
        <v>247</v>
      </c>
      <c r="C68" s="9" t="s">
        <v>248</v>
      </c>
      <c r="D68" s="9" t="s">
        <v>248</v>
      </c>
      <c r="E68" s="6" t="s">
        <v>25</v>
      </c>
      <c r="F68" s="20" t="n">
        <v>0</v>
      </c>
      <c r="G68" s="12" t="n">
        <v>1</v>
      </c>
      <c r="H68" s="6" t="s">
        <v>25</v>
      </c>
      <c r="I68" s="6" t="s">
        <v>25</v>
      </c>
      <c r="J68" s="6" t="s">
        <v>25</v>
      </c>
      <c r="K68" s="6" t="s">
        <v>25</v>
      </c>
      <c r="L68" s="6" t="s">
        <v>25</v>
      </c>
      <c r="M68" s="6" t="s">
        <v>25</v>
      </c>
      <c r="N68" s="6" t="s">
        <v>25</v>
      </c>
      <c r="O68" s="6" t="s">
        <v>25</v>
      </c>
      <c r="P68" s="11" t="s">
        <v>26</v>
      </c>
      <c r="Q68" s="11" t="n">
        <v>43831</v>
      </c>
      <c r="R68" s="6" t="s">
        <v>25</v>
      </c>
      <c r="S68" s="11"/>
      <c r="T68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8" s="11"/>
    </row>
    <row r="69" customFormat="false" ht="16.15" hidden="false" customHeight="false" outlineLevel="0" collapsed="false">
      <c r="A69" s="20" t="s">
        <v>249</v>
      </c>
      <c r="B69" s="21" t="s">
        <v>250</v>
      </c>
      <c r="C69" s="9" t="s">
        <v>251</v>
      </c>
      <c r="D69" s="9" t="s">
        <v>252</v>
      </c>
      <c r="E69" s="6" t="s">
        <v>25</v>
      </c>
      <c r="F69" s="4" t="n">
        <v>0</v>
      </c>
      <c r="G69" s="12" t="n">
        <v>1</v>
      </c>
      <c r="H69" s="6" t="s">
        <v>25</v>
      </c>
      <c r="I69" s="6" t="s">
        <v>25</v>
      </c>
      <c r="J69" s="6" t="s">
        <v>25</v>
      </c>
      <c r="K69" s="6" t="s">
        <v>25</v>
      </c>
      <c r="L69" s="6" t="s">
        <v>25</v>
      </c>
      <c r="M69" s="6" t="s">
        <v>25</v>
      </c>
      <c r="N69" s="6" t="s">
        <v>25</v>
      </c>
      <c r="O69" s="6" t="s">
        <v>25</v>
      </c>
      <c r="P69" s="11" t="s">
        <v>30</v>
      </c>
      <c r="Q69" s="11" t="n">
        <v>43831</v>
      </c>
      <c r="R69" s="6" t="s">
        <v>25</v>
      </c>
      <c r="S69" s="11"/>
      <c r="T69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69" s="11"/>
    </row>
    <row r="70" customFormat="false" ht="16.15" hidden="false" customHeight="false" outlineLevel="0" collapsed="false">
      <c r="A70" s="20" t="s">
        <v>253</v>
      </c>
      <c r="B70" s="21" t="s">
        <v>254</v>
      </c>
      <c r="C70" s="9" t="s">
        <v>255</v>
      </c>
      <c r="D70" s="9" t="s">
        <v>256</v>
      </c>
      <c r="E70" s="6" t="s">
        <v>25</v>
      </c>
      <c r="F70" s="20" t="n">
        <v>0</v>
      </c>
      <c r="G70" s="12" t="n">
        <v>1</v>
      </c>
      <c r="H70" s="6" t="s">
        <v>25</v>
      </c>
      <c r="I70" s="6" t="s">
        <v>25</v>
      </c>
      <c r="J70" s="6" t="s">
        <v>25</v>
      </c>
      <c r="K70" s="6" t="s">
        <v>25</v>
      </c>
      <c r="L70" s="6" t="s">
        <v>25</v>
      </c>
      <c r="M70" s="6" t="s">
        <v>25</v>
      </c>
      <c r="N70" s="6" t="s">
        <v>25</v>
      </c>
      <c r="O70" s="6" t="s">
        <v>25</v>
      </c>
      <c r="P70" s="11" t="s">
        <v>35</v>
      </c>
      <c r="Q70" s="11" t="n">
        <v>43831</v>
      </c>
      <c r="R70" s="6" t="s">
        <v>25</v>
      </c>
      <c r="S70" s="11"/>
      <c r="T70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70" s="11"/>
    </row>
    <row r="71" customFormat="false" ht="16.15" hidden="false" customHeight="false" outlineLevel="0" collapsed="false">
      <c r="A71" s="20" t="s">
        <v>257</v>
      </c>
      <c r="B71" s="21" t="s">
        <v>258</v>
      </c>
      <c r="C71" s="9" t="s">
        <v>65</v>
      </c>
      <c r="D71" s="9" t="s">
        <v>259</v>
      </c>
      <c r="E71" s="6" t="s">
        <v>25</v>
      </c>
      <c r="F71" s="20" t="n">
        <v>0</v>
      </c>
      <c r="G71" s="12" t="n">
        <v>1</v>
      </c>
      <c r="H71" s="6" t="s">
        <v>25</v>
      </c>
      <c r="I71" s="6" t="s">
        <v>25</v>
      </c>
      <c r="J71" s="6" t="s">
        <v>25</v>
      </c>
      <c r="K71" s="6" t="s">
        <v>25</v>
      </c>
      <c r="L71" s="6" t="s">
        <v>25</v>
      </c>
      <c r="M71" s="6" t="s">
        <v>25</v>
      </c>
      <c r="N71" s="6" t="s">
        <v>25</v>
      </c>
      <c r="O71" s="6" t="s">
        <v>25</v>
      </c>
      <c r="P71" s="11" t="s">
        <v>39</v>
      </c>
      <c r="Q71" s="11" t="n">
        <v>43831</v>
      </c>
      <c r="R71" s="6" t="s">
        <v>25</v>
      </c>
      <c r="S71" s="11"/>
      <c r="T71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71" s="11"/>
    </row>
    <row r="72" customFormat="false" ht="16.15" hidden="false" customHeight="false" outlineLevel="0" collapsed="false">
      <c r="A72" s="20" t="s">
        <v>260</v>
      </c>
      <c r="B72" s="21" t="s">
        <v>261</v>
      </c>
      <c r="C72" s="9" t="s">
        <v>23</v>
      </c>
      <c r="D72" s="9" t="s">
        <v>262</v>
      </c>
      <c r="E72" s="6" t="s">
        <v>25</v>
      </c>
      <c r="F72" s="4" t="n">
        <v>0</v>
      </c>
      <c r="G72" s="12" t="n">
        <v>1</v>
      </c>
      <c r="H72" s="6" t="s">
        <v>25</v>
      </c>
      <c r="I72" s="6" t="s">
        <v>25</v>
      </c>
      <c r="J72" s="6" t="s">
        <v>25</v>
      </c>
      <c r="K72" s="6" t="s">
        <v>25</v>
      </c>
      <c r="L72" s="6" t="s">
        <v>25</v>
      </c>
      <c r="M72" s="6" t="s">
        <v>25</v>
      </c>
      <c r="N72" s="6" t="s">
        <v>25</v>
      </c>
      <c r="O72" s="6" t="s">
        <v>25</v>
      </c>
      <c r="P72" s="11" t="s">
        <v>43</v>
      </c>
      <c r="Q72" s="11" t="n">
        <v>43831</v>
      </c>
      <c r="R72" s="6" t="s">
        <v>25</v>
      </c>
      <c r="S72" s="11"/>
      <c r="T72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72" s="11"/>
    </row>
    <row r="73" customFormat="false" ht="16.15" hidden="false" customHeight="false" outlineLevel="0" collapsed="false">
      <c r="A73" s="20" t="s">
        <v>263</v>
      </c>
      <c r="B73" s="21" t="s">
        <v>264</v>
      </c>
      <c r="C73" s="9" t="s">
        <v>23</v>
      </c>
      <c r="D73" s="9" t="s">
        <v>265</v>
      </c>
      <c r="E73" s="6" t="s">
        <v>25</v>
      </c>
      <c r="F73" s="20" t="n">
        <v>0</v>
      </c>
      <c r="G73" s="12" t="n">
        <v>1</v>
      </c>
      <c r="H73" s="6" t="s">
        <v>25</v>
      </c>
      <c r="I73" s="6" t="s">
        <v>25</v>
      </c>
      <c r="J73" s="6" t="s">
        <v>25</v>
      </c>
      <c r="K73" s="6" t="s">
        <v>25</v>
      </c>
      <c r="L73" s="6" t="s">
        <v>25</v>
      </c>
      <c r="M73" s="6" t="s">
        <v>25</v>
      </c>
      <c r="N73" s="6" t="s">
        <v>25</v>
      </c>
      <c r="O73" s="6" t="s">
        <v>25</v>
      </c>
      <c r="P73" s="11" t="s">
        <v>47</v>
      </c>
      <c r="Q73" s="11" t="n">
        <v>43831</v>
      </c>
      <c r="R73" s="6" t="s">
        <v>25</v>
      </c>
      <c r="S73" s="11"/>
      <c r="T73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73" s="11"/>
    </row>
    <row r="74" customFormat="false" ht="16.15" hidden="false" customHeight="false" outlineLevel="0" collapsed="false">
      <c r="A74" s="20" t="s">
        <v>266</v>
      </c>
      <c r="B74" s="21" t="s">
        <v>267</v>
      </c>
      <c r="C74" s="9" t="s">
        <v>268</v>
      </c>
      <c r="D74" s="9" t="s">
        <v>269</v>
      </c>
      <c r="E74" s="6" t="s">
        <v>25</v>
      </c>
      <c r="F74" s="20" t="n">
        <v>0</v>
      </c>
      <c r="G74" s="12" t="n">
        <v>1</v>
      </c>
      <c r="H74" s="6" t="s">
        <v>25</v>
      </c>
      <c r="I74" s="6" t="s">
        <v>25</v>
      </c>
      <c r="J74" s="6" t="s">
        <v>25</v>
      </c>
      <c r="K74" s="6" t="s">
        <v>25</v>
      </c>
      <c r="L74" s="6" t="s">
        <v>25</v>
      </c>
      <c r="M74" s="6" t="s">
        <v>25</v>
      </c>
      <c r="N74" s="6" t="s">
        <v>25</v>
      </c>
      <c r="O74" s="6" t="s">
        <v>25</v>
      </c>
      <c r="P74" s="11" t="s">
        <v>26</v>
      </c>
      <c r="Q74" s="11" t="n">
        <v>43831</v>
      </c>
      <c r="R74" s="6" t="s">
        <v>25</v>
      </c>
      <c r="S74" s="11"/>
      <c r="T74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74" s="11"/>
    </row>
    <row r="75" customFormat="false" ht="16.15" hidden="false" customHeight="false" outlineLevel="0" collapsed="false">
      <c r="A75" s="20" t="s">
        <v>270</v>
      </c>
      <c r="B75" s="21" t="s">
        <v>271</v>
      </c>
      <c r="C75" s="9" t="s">
        <v>23</v>
      </c>
      <c r="D75" s="9" t="s">
        <v>272</v>
      </c>
      <c r="E75" s="6" t="s">
        <v>25</v>
      </c>
      <c r="F75" s="4" t="n">
        <v>0</v>
      </c>
      <c r="G75" s="12" t="n">
        <v>1</v>
      </c>
      <c r="H75" s="6" t="s">
        <v>25</v>
      </c>
      <c r="I75" s="6" t="s">
        <v>25</v>
      </c>
      <c r="J75" s="6" t="s">
        <v>25</v>
      </c>
      <c r="K75" s="6" t="s">
        <v>25</v>
      </c>
      <c r="L75" s="6" t="s">
        <v>25</v>
      </c>
      <c r="M75" s="6" t="s">
        <v>25</v>
      </c>
      <c r="N75" s="6" t="s">
        <v>25</v>
      </c>
      <c r="O75" s="6" t="s">
        <v>25</v>
      </c>
      <c r="P75" s="11" t="s">
        <v>30</v>
      </c>
      <c r="Q75" s="11" t="n">
        <v>43831</v>
      </c>
      <c r="R75" s="6" t="s">
        <v>25</v>
      </c>
      <c r="S75" s="11"/>
      <c r="T75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75" s="11"/>
    </row>
    <row r="76" customFormat="false" ht="16.15" hidden="false" customHeight="false" outlineLevel="0" collapsed="false">
      <c r="A76" s="20" t="s">
        <v>273</v>
      </c>
      <c r="B76" s="21" t="s">
        <v>274</v>
      </c>
      <c r="C76" s="9" t="s">
        <v>23</v>
      </c>
      <c r="D76" s="9" t="s">
        <v>275</v>
      </c>
      <c r="E76" s="6" t="s">
        <v>25</v>
      </c>
      <c r="F76" s="20" t="n">
        <v>0</v>
      </c>
      <c r="G76" s="12" t="n">
        <v>1</v>
      </c>
      <c r="H76" s="6" t="s">
        <v>25</v>
      </c>
      <c r="I76" s="6" t="s">
        <v>25</v>
      </c>
      <c r="J76" s="6" t="s">
        <v>25</v>
      </c>
      <c r="K76" s="6" t="s">
        <v>25</v>
      </c>
      <c r="L76" s="6" t="s">
        <v>25</v>
      </c>
      <c r="M76" s="6" t="s">
        <v>25</v>
      </c>
      <c r="N76" s="6" t="s">
        <v>25</v>
      </c>
      <c r="O76" s="6" t="s">
        <v>25</v>
      </c>
      <c r="P76" s="11" t="s">
        <v>35</v>
      </c>
      <c r="Q76" s="11" t="n">
        <v>43831</v>
      </c>
      <c r="R76" s="6" t="s">
        <v>25</v>
      </c>
      <c r="S76" s="11"/>
      <c r="T76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76" s="11"/>
    </row>
    <row r="77" customFormat="false" ht="16.15" hidden="false" customHeight="false" outlineLevel="0" collapsed="false">
      <c r="A77" s="20" t="s">
        <v>276</v>
      </c>
      <c r="B77" s="21" t="s">
        <v>277</v>
      </c>
      <c r="C77" s="9" t="s">
        <v>278</v>
      </c>
      <c r="D77" s="9" t="s">
        <v>279</v>
      </c>
      <c r="E77" s="6" t="s">
        <v>25</v>
      </c>
      <c r="F77" s="20" t="n">
        <v>0</v>
      </c>
      <c r="G77" s="12" t="n">
        <v>1</v>
      </c>
      <c r="H77" s="6" t="s">
        <v>25</v>
      </c>
      <c r="I77" s="6" t="s">
        <v>25</v>
      </c>
      <c r="J77" s="6" t="s">
        <v>25</v>
      </c>
      <c r="K77" s="6" t="s">
        <v>25</v>
      </c>
      <c r="L77" s="6" t="s">
        <v>25</v>
      </c>
      <c r="M77" s="6" t="s">
        <v>25</v>
      </c>
      <c r="N77" s="6" t="s">
        <v>25</v>
      </c>
      <c r="O77" s="6" t="s">
        <v>25</v>
      </c>
      <c r="P77" s="11" t="s">
        <v>39</v>
      </c>
      <c r="Q77" s="19" t="n">
        <v>54789</v>
      </c>
      <c r="R77" s="6" t="s">
        <v>25</v>
      </c>
      <c r="S77" s="11"/>
      <c r="T77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77" s="11"/>
    </row>
    <row r="78" customFormat="false" ht="16.15" hidden="false" customHeight="false" outlineLevel="0" collapsed="false">
      <c r="A78" s="20" t="s">
        <v>280</v>
      </c>
      <c r="B78" s="21" t="s">
        <v>281</v>
      </c>
      <c r="C78" s="9" t="s">
        <v>282</v>
      </c>
      <c r="D78" s="9" t="s">
        <v>283</v>
      </c>
      <c r="E78" s="6" t="s">
        <v>25</v>
      </c>
      <c r="F78" s="4" t="n">
        <v>0</v>
      </c>
      <c r="G78" s="12" t="n">
        <v>1</v>
      </c>
      <c r="H78" s="6" t="s">
        <v>25</v>
      </c>
      <c r="I78" s="6" t="s">
        <v>25</v>
      </c>
      <c r="J78" s="6" t="s">
        <v>25</v>
      </c>
      <c r="K78" s="6" t="s">
        <v>25</v>
      </c>
      <c r="L78" s="6" t="s">
        <v>25</v>
      </c>
      <c r="M78" s="6" t="s">
        <v>25</v>
      </c>
      <c r="N78" s="6" t="s">
        <v>25</v>
      </c>
      <c r="O78" s="6" t="s">
        <v>25</v>
      </c>
      <c r="P78" s="11" t="s">
        <v>43</v>
      </c>
      <c r="Q78" s="19" t="n">
        <v>54789</v>
      </c>
      <c r="R78" s="6" t="s">
        <v>25</v>
      </c>
      <c r="S78" s="11"/>
      <c r="T78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78" s="11"/>
    </row>
    <row r="79" customFormat="false" ht="16.15" hidden="false" customHeight="false" outlineLevel="0" collapsed="false">
      <c r="A79" s="20" t="s">
        <v>284</v>
      </c>
      <c r="B79" s="21" t="s">
        <v>285</v>
      </c>
      <c r="C79" s="9" t="s">
        <v>278</v>
      </c>
      <c r="D79" s="9" t="s">
        <v>286</v>
      </c>
      <c r="E79" s="6" t="s">
        <v>25</v>
      </c>
      <c r="F79" s="20" t="n">
        <v>0</v>
      </c>
      <c r="G79" s="12" t="n">
        <v>1</v>
      </c>
      <c r="H79" s="6" t="s">
        <v>25</v>
      </c>
      <c r="I79" s="6" t="s">
        <v>25</v>
      </c>
      <c r="J79" s="6" t="s">
        <v>25</v>
      </c>
      <c r="K79" s="6" t="s">
        <v>25</v>
      </c>
      <c r="L79" s="6" t="s">
        <v>25</v>
      </c>
      <c r="M79" s="6" t="s">
        <v>25</v>
      </c>
      <c r="N79" s="6" t="s">
        <v>25</v>
      </c>
      <c r="O79" s="6" t="s">
        <v>25</v>
      </c>
      <c r="P79" s="11" t="s">
        <v>47</v>
      </c>
      <c r="Q79" s="19" t="n">
        <v>54789</v>
      </c>
      <c r="R79" s="6" t="s">
        <v>25</v>
      </c>
      <c r="S79" s="11"/>
      <c r="T79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79" s="11"/>
    </row>
    <row r="80" customFormat="false" ht="16.15" hidden="false" customHeight="false" outlineLevel="0" collapsed="false">
      <c r="A80" s="20" t="s">
        <v>287</v>
      </c>
      <c r="B80" s="21" t="s">
        <v>288</v>
      </c>
      <c r="C80" s="9" t="s">
        <v>23</v>
      </c>
      <c r="D80" s="9" t="s">
        <v>289</v>
      </c>
      <c r="E80" s="6" t="s">
        <v>25</v>
      </c>
      <c r="F80" s="20" t="n">
        <v>0</v>
      </c>
      <c r="G80" s="12" t="n">
        <v>1</v>
      </c>
      <c r="H80" s="6" t="s">
        <v>25</v>
      </c>
      <c r="I80" s="6" t="s">
        <v>25</v>
      </c>
      <c r="J80" s="6" t="s">
        <v>25</v>
      </c>
      <c r="K80" s="6" t="s">
        <v>25</v>
      </c>
      <c r="L80" s="6" t="s">
        <v>25</v>
      </c>
      <c r="M80" s="6" t="s">
        <v>25</v>
      </c>
      <c r="N80" s="6" t="s">
        <v>25</v>
      </c>
      <c r="O80" s="6" t="s">
        <v>25</v>
      </c>
      <c r="P80" s="11" t="s">
        <v>26</v>
      </c>
      <c r="Q80" s="19" t="n">
        <v>54789</v>
      </c>
      <c r="R80" s="6" t="s">
        <v>25</v>
      </c>
      <c r="S80" s="11"/>
      <c r="T80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80" s="11"/>
    </row>
    <row r="81" customFormat="false" ht="16.15" hidden="false" customHeight="false" outlineLevel="0" collapsed="false">
      <c r="A81" s="20" t="s">
        <v>290</v>
      </c>
      <c r="B81" s="21" t="s">
        <v>291</v>
      </c>
      <c r="C81" s="9" t="s">
        <v>292</v>
      </c>
      <c r="D81" s="9" t="s">
        <v>293</v>
      </c>
      <c r="E81" s="6" t="s">
        <v>25</v>
      </c>
      <c r="F81" s="4" t="n">
        <v>0</v>
      </c>
      <c r="G81" s="12" t="n">
        <v>1</v>
      </c>
      <c r="H81" s="6" t="s">
        <v>25</v>
      </c>
      <c r="I81" s="6" t="s">
        <v>25</v>
      </c>
      <c r="J81" s="6" t="s">
        <v>25</v>
      </c>
      <c r="K81" s="6" t="s">
        <v>25</v>
      </c>
      <c r="L81" s="6" t="s">
        <v>25</v>
      </c>
      <c r="M81" s="6" t="s">
        <v>25</v>
      </c>
      <c r="N81" s="6" t="s">
        <v>25</v>
      </c>
      <c r="O81" s="6" t="s">
        <v>25</v>
      </c>
      <c r="P81" s="11" t="s">
        <v>30</v>
      </c>
      <c r="Q81" s="19" t="n">
        <v>54789</v>
      </c>
      <c r="R81" s="6" t="s">
        <v>25</v>
      </c>
      <c r="S81" s="11"/>
      <c r="T81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81" s="11"/>
    </row>
    <row r="82" customFormat="false" ht="16.15" hidden="false" customHeight="false" outlineLevel="0" collapsed="false">
      <c r="A82" s="20" t="s">
        <v>294</v>
      </c>
      <c r="B82" s="21" t="s">
        <v>64</v>
      </c>
      <c r="C82" s="9" t="s">
        <v>295</v>
      </c>
      <c r="D82" s="9" t="s">
        <v>296</v>
      </c>
      <c r="E82" s="6" t="s">
        <v>25</v>
      </c>
      <c r="F82" s="24" t="n">
        <v>1</v>
      </c>
      <c r="G82" s="6" t="n">
        <v>0</v>
      </c>
      <c r="H82" s="6" t="s">
        <v>25</v>
      </c>
      <c r="I82" s="6" t="s">
        <v>25</v>
      </c>
      <c r="J82" s="6" t="s">
        <v>25</v>
      </c>
      <c r="K82" s="6" t="s">
        <v>25</v>
      </c>
      <c r="L82" s="6" t="s">
        <v>25</v>
      </c>
      <c r="M82" s="6" t="s">
        <v>25</v>
      </c>
      <c r="N82" s="6" t="s">
        <v>25</v>
      </c>
      <c r="O82" s="6" t="s">
        <v>25</v>
      </c>
      <c r="P82" s="11" t="s">
        <v>35</v>
      </c>
      <c r="Q82" s="11" t="n">
        <v>43831</v>
      </c>
      <c r="R82" s="6" t="s">
        <v>25</v>
      </c>
      <c r="S82" s="11"/>
      <c r="T82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82" s="11"/>
    </row>
    <row r="83" customFormat="false" ht="16.15" hidden="false" customHeight="false" outlineLevel="0" collapsed="false">
      <c r="A83" s="20" t="s">
        <v>297</v>
      </c>
      <c r="B83" s="21" t="s">
        <v>298</v>
      </c>
      <c r="C83" s="9" t="s">
        <v>299</v>
      </c>
      <c r="D83" s="9" t="s">
        <v>299</v>
      </c>
      <c r="E83" s="6" t="s">
        <v>25</v>
      </c>
      <c r="F83" s="24" t="n">
        <v>1</v>
      </c>
      <c r="G83" s="6" t="n">
        <v>0</v>
      </c>
      <c r="H83" s="6" t="s">
        <v>25</v>
      </c>
      <c r="I83" s="6" t="s">
        <v>25</v>
      </c>
      <c r="J83" s="6" t="s">
        <v>25</v>
      </c>
      <c r="K83" s="6" t="s">
        <v>25</v>
      </c>
      <c r="L83" s="6" t="s">
        <v>25</v>
      </c>
      <c r="M83" s="6" t="s">
        <v>25</v>
      </c>
      <c r="N83" s="6" t="s">
        <v>25</v>
      </c>
      <c r="O83" s="6" t="s">
        <v>25</v>
      </c>
      <c r="P83" s="11" t="s">
        <v>39</v>
      </c>
      <c r="Q83" s="11" t="n">
        <v>43831</v>
      </c>
      <c r="R83" s="6" t="s">
        <v>25</v>
      </c>
      <c r="S83" s="11"/>
      <c r="T83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83" s="11"/>
    </row>
    <row r="84" customFormat="false" ht="16.15" hidden="false" customHeight="false" outlineLevel="0" collapsed="false">
      <c r="A84" s="20" t="s">
        <v>300</v>
      </c>
      <c r="B84" s="21" t="s">
        <v>301</v>
      </c>
      <c r="C84" s="9" t="s">
        <v>302</v>
      </c>
      <c r="D84" s="9" t="s">
        <v>303</v>
      </c>
      <c r="E84" s="6" t="s">
        <v>25</v>
      </c>
      <c r="F84" s="24" t="n">
        <v>1</v>
      </c>
      <c r="G84" s="6" t="n">
        <v>0</v>
      </c>
      <c r="H84" s="6" t="s">
        <v>25</v>
      </c>
      <c r="I84" s="6" t="s">
        <v>25</v>
      </c>
      <c r="J84" s="6" t="s">
        <v>25</v>
      </c>
      <c r="K84" s="6" t="s">
        <v>25</v>
      </c>
      <c r="L84" s="6" t="s">
        <v>25</v>
      </c>
      <c r="M84" s="6" t="s">
        <v>25</v>
      </c>
      <c r="N84" s="6" t="s">
        <v>25</v>
      </c>
      <c r="O84" s="6" t="s">
        <v>25</v>
      </c>
      <c r="P84" s="11" t="s">
        <v>43</v>
      </c>
      <c r="Q84" s="11" t="n">
        <v>43831</v>
      </c>
      <c r="R84" s="6" t="s">
        <v>25</v>
      </c>
      <c r="S84" s="11"/>
      <c r="T84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84" s="11"/>
    </row>
    <row r="85" customFormat="false" ht="16.15" hidden="false" customHeight="false" outlineLevel="0" collapsed="false">
      <c r="A85" s="20" t="s">
        <v>304</v>
      </c>
      <c r="B85" s="21" t="s">
        <v>305</v>
      </c>
      <c r="C85" s="9" t="s">
        <v>306</v>
      </c>
      <c r="D85" s="9" t="s">
        <v>306</v>
      </c>
      <c r="E85" s="6" t="s">
        <v>25</v>
      </c>
      <c r="F85" s="24" t="n">
        <v>1</v>
      </c>
      <c r="G85" s="6" t="n">
        <v>0</v>
      </c>
      <c r="H85" s="6" t="s">
        <v>25</v>
      </c>
      <c r="I85" s="6" t="s">
        <v>25</v>
      </c>
      <c r="J85" s="6" t="s">
        <v>25</v>
      </c>
      <c r="K85" s="6" t="s">
        <v>25</v>
      </c>
      <c r="L85" s="6" t="s">
        <v>25</v>
      </c>
      <c r="M85" s="6" t="s">
        <v>25</v>
      </c>
      <c r="N85" s="6" t="s">
        <v>25</v>
      </c>
      <c r="O85" s="6" t="s">
        <v>25</v>
      </c>
      <c r="P85" s="11" t="s">
        <v>47</v>
      </c>
      <c r="Q85" s="11" t="n">
        <v>43831</v>
      </c>
      <c r="R85" s="6" t="s">
        <v>25</v>
      </c>
      <c r="S85" s="11"/>
      <c r="T85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85" s="11"/>
    </row>
    <row r="86" customFormat="false" ht="16.15" hidden="false" customHeight="false" outlineLevel="0" collapsed="false">
      <c r="A86" s="20" t="s">
        <v>307</v>
      </c>
      <c r="B86" s="21" t="s">
        <v>308</v>
      </c>
      <c r="C86" s="9" t="s">
        <v>309</v>
      </c>
      <c r="D86" s="9" t="s">
        <v>310</v>
      </c>
      <c r="E86" s="6" t="s">
        <v>25</v>
      </c>
      <c r="F86" s="24" t="n">
        <v>1</v>
      </c>
      <c r="G86" s="6" t="n">
        <v>0</v>
      </c>
      <c r="H86" s="6" t="s">
        <v>25</v>
      </c>
      <c r="I86" s="6" t="s">
        <v>25</v>
      </c>
      <c r="J86" s="6" t="s">
        <v>25</v>
      </c>
      <c r="K86" s="6" t="s">
        <v>25</v>
      </c>
      <c r="L86" s="6" t="s">
        <v>25</v>
      </c>
      <c r="M86" s="6" t="s">
        <v>25</v>
      </c>
      <c r="N86" s="6" t="s">
        <v>25</v>
      </c>
      <c r="O86" s="6" t="s">
        <v>25</v>
      </c>
      <c r="P86" s="11" t="s">
        <v>26</v>
      </c>
      <c r="Q86" s="11" t="n">
        <v>43831</v>
      </c>
      <c r="R86" s="6" t="s">
        <v>25</v>
      </c>
      <c r="S86" s="11"/>
      <c r="T86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86" s="11"/>
    </row>
    <row r="87" customFormat="false" ht="16.15" hidden="false" customHeight="false" outlineLevel="0" collapsed="false">
      <c r="A87" s="20" t="s">
        <v>311</v>
      </c>
      <c r="B87" s="21" t="s">
        <v>312</v>
      </c>
      <c r="C87" s="9" t="s">
        <v>313</v>
      </c>
      <c r="D87" s="9" t="s">
        <v>293</v>
      </c>
      <c r="E87" s="6" t="s">
        <v>25</v>
      </c>
      <c r="F87" s="24" t="n">
        <v>1</v>
      </c>
      <c r="G87" s="6" t="n">
        <v>0</v>
      </c>
      <c r="H87" s="6" t="s">
        <v>25</v>
      </c>
      <c r="I87" s="6" t="s">
        <v>25</v>
      </c>
      <c r="J87" s="6" t="s">
        <v>25</v>
      </c>
      <c r="K87" s="6" t="s">
        <v>25</v>
      </c>
      <c r="L87" s="6" t="s">
        <v>25</v>
      </c>
      <c r="M87" s="6" t="s">
        <v>25</v>
      </c>
      <c r="N87" s="6" t="s">
        <v>25</v>
      </c>
      <c r="O87" s="6" t="s">
        <v>25</v>
      </c>
      <c r="P87" s="11" t="s">
        <v>30</v>
      </c>
      <c r="Q87" s="11" t="n">
        <v>43831</v>
      </c>
      <c r="R87" s="6" t="s">
        <v>25</v>
      </c>
      <c r="S87" s="11"/>
      <c r="T87" s="11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87" s="11"/>
    </row>
    <row r="88" customFormat="false" ht="16.15" hidden="false" customHeight="false" outlineLevel="0" collapsed="false">
      <c r="A88" s="20" t="s">
        <v>314</v>
      </c>
      <c r="B88" s="21" t="s">
        <v>315</v>
      </c>
      <c r="C88" s="9" t="s">
        <v>316</v>
      </c>
      <c r="D88" s="9" t="s">
        <v>316</v>
      </c>
      <c r="E88" s="6" t="s">
        <v>25</v>
      </c>
      <c r="F88" s="4" t="n">
        <v>0</v>
      </c>
      <c r="G88" s="12" t="n">
        <v>0</v>
      </c>
      <c r="H88" s="6" t="s">
        <v>25</v>
      </c>
      <c r="I88" s="6" t="s">
        <v>25</v>
      </c>
      <c r="J88" s="6" t="s">
        <v>25</v>
      </c>
      <c r="K88" s="6" t="s">
        <v>25</v>
      </c>
      <c r="L88" s="6" t="s">
        <v>25</v>
      </c>
      <c r="M88" s="6" t="s">
        <v>25</v>
      </c>
      <c r="N88" s="6" t="s">
        <v>25</v>
      </c>
      <c r="O88" s="6" t="s">
        <v>25</v>
      </c>
      <c r="P88" s="11" t="s">
        <v>35</v>
      </c>
      <c r="Q88" s="11" t="n">
        <v>43831</v>
      </c>
      <c r="R88" s="6" t="s">
        <v>25</v>
      </c>
      <c r="S88" s="11" t="n">
        <v>44561</v>
      </c>
      <c r="T88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88" s="11"/>
    </row>
    <row r="89" customFormat="false" ht="16.15" hidden="false" customHeight="false" outlineLevel="0" collapsed="false">
      <c r="A89" s="20" t="s">
        <v>317</v>
      </c>
      <c r="B89" s="21" t="s">
        <v>318</v>
      </c>
      <c r="C89" s="9" t="s">
        <v>319</v>
      </c>
      <c r="D89" s="9" t="s">
        <v>319</v>
      </c>
      <c r="E89" s="6" t="s">
        <v>25</v>
      </c>
      <c r="F89" s="4" t="n">
        <v>0</v>
      </c>
      <c r="G89" s="12" t="n">
        <v>0</v>
      </c>
      <c r="H89" s="6" t="s">
        <v>25</v>
      </c>
      <c r="I89" s="6" t="s">
        <v>25</v>
      </c>
      <c r="J89" s="6" t="s">
        <v>25</v>
      </c>
      <c r="K89" s="6" t="s">
        <v>25</v>
      </c>
      <c r="L89" s="6" t="s">
        <v>25</v>
      </c>
      <c r="M89" s="6" t="s">
        <v>25</v>
      </c>
      <c r="N89" s="6" t="s">
        <v>25</v>
      </c>
      <c r="O89" s="6" t="s">
        <v>25</v>
      </c>
      <c r="P89" s="11" t="s">
        <v>39</v>
      </c>
      <c r="Q89" s="11" t="n">
        <v>43831</v>
      </c>
      <c r="R89" s="6" t="s">
        <v>25</v>
      </c>
      <c r="S89" s="11" t="n">
        <v>44561</v>
      </c>
      <c r="T89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89" s="11"/>
    </row>
    <row r="90" customFormat="false" ht="16.15" hidden="false" customHeight="false" outlineLevel="0" collapsed="false">
      <c r="A90" s="20" t="s">
        <v>320</v>
      </c>
      <c r="B90" s="21" t="s">
        <v>321</v>
      </c>
      <c r="C90" s="9" t="s">
        <v>322</v>
      </c>
      <c r="D90" s="9" t="s">
        <v>293</v>
      </c>
      <c r="E90" s="6" t="s">
        <v>25</v>
      </c>
      <c r="F90" s="4" t="n">
        <v>0</v>
      </c>
      <c r="G90" s="12" t="n">
        <v>0</v>
      </c>
      <c r="H90" s="6" t="s">
        <v>25</v>
      </c>
      <c r="I90" s="6" t="s">
        <v>25</v>
      </c>
      <c r="J90" s="6" t="s">
        <v>25</v>
      </c>
      <c r="K90" s="6" t="s">
        <v>25</v>
      </c>
      <c r="L90" s="6" t="s">
        <v>25</v>
      </c>
      <c r="M90" s="6" t="s">
        <v>25</v>
      </c>
      <c r="N90" s="6" t="s">
        <v>25</v>
      </c>
      <c r="O90" s="6" t="s">
        <v>25</v>
      </c>
      <c r="P90" s="11" t="s">
        <v>43</v>
      </c>
      <c r="Q90" s="11" t="n">
        <v>43831</v>
      </c>
      <c r="R90" s="6" t="s">
        <v>25</v>
      </c>
      <c r="S90" s="11" t="n">
        <v>44561</v>
      </c>
      <c r="T90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90" s="11"/>
    </row>
    <row r="91" customFormat="false" ht="16.15" hidden="false" customHeight="false" outlineLevel="0" collapsed="false">
      <c r="A91" s="20" t="s">
        <v>323</v>
      </c>
      <c r="B91" s="21" t="s">
        <v>324</v>
      </c>
      <c r="C91" s="9" t="s">
        <v>325</v>
      </c>
      <c r="D91" s="9" t="s">
        <v>325</v>
      </c>
      <c r="E91" s="6" t="s">
        <v>25</v>
      </c>
      <c r="F91" s="4" t="n">
        <v>0</v>
      </c>
      <c r="G91" s="12" t="n">
        <v>0</v>
      </c>
      <c r="H91" s="6" t="s">
        <v>25</v>
      </c>
      <c r="I91" s="6" t="s">
        <v>25</v>
      </c>
      <c r="J91" s="6" t="s">
        <v>25</v>
      </c>
      <c r="K91" s="6" t="s">
        <v>25</v>
      </c>
      <c r="L91" s="6" t="s">
        <v>25</v>
      </c>
      <c r="M91" s="6" t="s">
        <v>25</v>
      </c>
      <c r="N91" s="6" t="s">
        <v>25</v>
      </c>
      <c r="O91" s="6" t="s">
        <v>25</v>
      </c>
      <c r="P91" s="11" t="s">
        <v>47</v>
      </c>
      <c r="Q91" s="11" t="n">
        <v>43831</v>
      </c>
      <c r="R91" s="6" t="s">
        <v>25</v>
      </c>
      <c r="S91" s="11" t="n">
        <v>44561</v>
      </c>
      <c r="T91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91" s="11"/>
    </row>
    <row r="92" customFormat="false" ht="16.15" hidden="false" customHeight="false" outlineLevel="0" collapsed="false">
      <c r="A92" s="25" t="str">
        <f aca="false">"EV-"&amp;tbl_Ernteverträge[[#This Row],[Mitglieds-Nr.]]</f>
        <v>EV-0777</v>
      </c>
      <c r="B92" s="26" t="s">
        <v>326</v>
      </c>
      <c r="C92" s="9" t="s">
        <v>327</v>
      </c>
      <c r="D92" s="9" t="s">
        <v>328</v>
      </c>
      <c r="E92" s="6" t="s">
        <v>25</v>
      </c>
      <c r="F92" s="4" t="n">
        <v>0</v>
      </c>
      <c r="G92" s="12" t="n">
        <v>0</v>
      </c>
      <c r="H92" s="6" t="s">
        <v>25</v>
      </c>
      <c r="I92" s="6" t="s">
        <v>25</v>
      </c>
      <c r="J92" s="6" t="s">
        <v>25</v>
      </c>
      <c r="K92" s="6" t="s">
        <v>25</v>
      </c>
      <c r="L92" s="6" t="s">
        <v>25</v>
      </c>
      <c r="M92" s="6" t="s">
        <v>25</v>
      </c>
      <c r="N92" s="6" t="s">
        <v>25</v>
      </c>
      <c r="O92" s="6" t="s">
        <v>25</v>
      </c>
      <c r="P92" s="11" t="s">
        <v>26</v>
      </c>
      <c r="Q92" s="11" t="n">
        <v>43831</v>
      </c>
      <c r="R92" s="6" t="s">
        <v>25</v>
      </c>
      <c r="S92" s="11" t="n">
        <v>44561</v>
      </c>
      <c r="T92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92" s="11"/>
    </row>
    <row r="93" customFormat="false" ht="16.15" hidden="false" customHeight="false" outlineLevel="0" collapsed="false">
      <c r="A93" s="25" t="str">
        <f aca="false">"EV-"&amp;tbl_Ernteverträge[[#This Row],[Mitglieds-Nr.]]</f>
        <v>EV-0888</v>
      </c>
      <c r="B93" s="26" t="s">
        <v>329</v>
      </c>
      <c r="C93" s="9" t="s">
        <v>330</v>
      </c>
      <c r="D93" s="9" t="s">
        <v>330</v>
      </c>
      <c r="E93" s="6" t="s">
        <v>25</v>
      </c>
      <c r="F93" s="4" t="n">
        <v>0</v>
      </c>
      <c r="G93" s="12" t="n">
        <v>0</v>
      </c>
      <c r="H93" s="6" t="s">
        <v>25</v>
      </c>
      <c r="I93" s="6" t="s">
        <v>25</v>
      </c>
      <c r="J93" s="6" t="s">
        <v>25</v>
      </c>
      <c r="K93" s="6" t="s">
        <v>25</v>
      </c>
      <c r="L93" s="6" t="s">
        <v>25</v>
      </c>
      <c r="M93" s="6" t="s">
        <v>25</v>
      </c>
      <c r="N93" s="6" t="s">
        <v>25</v>
      </c>
      <c r="O93" s="6" t="s">
        <v>25</v>
      </c>
      <c r="P93" s="11" t="s">
        <v>30</v>
      </c>
      <c r="Q93" s="11" t="n">
        <v>43831</v>
      </c>
      <c r="R93" s="6" t="s">
        <v>25</v>
      </c>
      <c r="S93" s="11" t="n">
        <v>44561</v>
      </c>
      <c r="T93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93" s="11"/>
    </row>
    <row r="94" customFormat="false" ht="16.15" hidden="false" customHeight="false" outlineLevel="0" collapsed="false">
      <c r="A94" s="25" t="str">
        <f aca="false">"EV-"&amp;tbl_Ernteverträge[[#This Row],[Mitglieds-Nr.]]</f>
        <v>EV-0999</v>
      </c>
      <c r="B94" s="26" t="s">
        <v>331</v>
      </c>
      <c r="C94" s="9" t="s">
        <v>332</v>
      </c>
      <c r="D94" s="9" t="s">
        <v>332</v>
      </c>
      <c r="E94" s="6" t="s">
        <v>25</v>
      </c>
      <c r="F94" s="4" t="n">
        <v>0</v>
      </c>
      <c r="G94" s="12" t="n">
        <v>0</v>
      </c>
      <c r="H94" s="6" t="s">
        <v>25</v>
      </c>
      <c r="I94" s="6" t="s">
        <v>25</v>
      </c>
      <c r="J94" s="6" t="s">
        <v>25</v>
      </c>
      <c r="K94" s="6" t="s">
        <v>25</v>
      </c>
      <c r="L94" s="6" t="s">
        <v>25</v>
      </c>
      <c r="M94" s="6" t="s">
        <v>25</v>
      </c>
      <c r="N94" s="6" t="s">
        <v>25</v>
      </c>
      <c r="O94" s="6" t="s">
        <v>25</v>
      </c>
      <c r="P94" s="11" t="s">
        <v>35</v>
      </c>
      <c r="Q94" s="11" t="n">
        <v>43831</v>
      </c>
      <c r="R94" s="6" t="s">
        <v>25</v>
      </c>
      <c r="S94" s="11" t="n">
        <v>44561</v>
      </c>
      <c r="T94" s="11" t="str">
        <f aca="false">IF(AND(tbl_Ernteverträge[[#This Row],[Erste Lieferung]]-35&lt;TODAY(),OR(tbl_Ernteverträge[[#This Row],[Letzte Lieferung]]&gt;=TODAY(),tbl_Ernteverträge[[#This Row],[Letzte Lieferung]]=0)),"aktiv","inaktiv")</f>
        <v>inaktiv</v>
      </c>
      <c r="U94" s="11"/>
    </row>
    <row r="95" customFormat="false" ht="16.15" hidden="false" customHeight="false" outlineLevel="0" collapsed="false">
      <c r="A95" s="27" t="str">
        <f aca="false">"EV-"&amp;tbl_Ernteverträge[[#This Row],[Mitglieds-Nr.]]</f>
        <v>EV-gelöscht</v>
      </c>
      <c r="B95" s="4" t="s">
        <v>333</v>
      </c>
      <c r="C95" s="28"/>
      <c r="D95" s="28"/>
      <c r="E95" s="29"/>
      <c r="F95" s="27"/>
      <c r="G95" s="29"/>
      <c r="H95" s="29"/>
      <c r="I95" s="29"/>
      <c r="J95" s="29"/>
      <c r="K95" s="29"/>
      <c r="L95" s="29"/>
      <c r="M95" s="30"/>
      <c r="N95" s="31"/>
      <c r="O95" s="31"/>
      <c r="P95" s="32"/>
      <c r="Q95" s="32"/>
      <c r="R95" s="33"/>
      <c r="S95" s="32"/>
      <c r="T95" s="32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95" s="32"/>
    </row>
    <row r="96" customFormat="false" ht="16.15" hidden="false" customHeight="false" outlineLevel="0" collapsed="false">
      <c r="A96" s="27" t="str">
        <f aca="false">"EV-"&amp;tbl_Ernteverträge[[#This Row],[Mitglieds-Nr.]]</f>
        <v>EV-gelöscht</v>
      </c>
      <c r="B96" s="4" t="s">
        <v>333</v>
      </c>
      <c r="C96" s="27"/>
      <c r="D96" s="27"/>
      <c r="E96" s="29"/>
      <c r="F96" s="27"/>
      <c r="G96" s="29"/>
      <c r="H96" s="29"/>
      <c r="I96" s="29"/>
      <c r="J96" s="29"/>
      <c r="K96" s="29"/>
      <c r="L96" s="29"/>
      <c r="M96" s="30" t="str">
        <f aca="false">tbl_Ernteverträge[[#This Row],[Name - Vorname]]&amp;" "&amp;tbl_Ernteverträge[[#This Row],[Name - Nachname]]</f>
        <v> </v>
      </c>
      <c r="N96" s="31"/>
      <c r="O96" s="31"/>
      <c r="P96" s="32"/>
      <c r="Q96" s="32"/>
      <c r="R96" s="33"/>
      <c r="S96" s="32"/>
      <c r="T96" s="32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96" s="32"/>
    </row>
    <row r="97" customFormat="false" ht="16.15" hidden="false" customHeight="false" outlineLevel="0" collapsed="false">
      <c r="A97" s="27" t="str">
        <f aca="false">"EV-"&amp;tbl_Ernteverträge[[#This Row],[Mitglieds-Nr.]]</f>
        <v>EV-gelöscht</v>
      </c>
      <c r="B97" s="4" t="s">
        <v>333</v>
      </c>
      <c r="C97" s="27"/>
      <c r="D97" s="27"/>
      <c r="E97" s="29"/>
      <c r="F97" s="27"/>
      <c r="G97" s="29"/>
      <c r="H97" s="29"/>
      <c r="I97" s="29"/>
      <c r="J97" s="29"/>
      <c r="K97" s="29"/>
      <c r="L97" s="29"/>
      <c r="M97" s="30" t="str">
        <f aca="false">tbl_Ernteverträge[[#This Row],[Name - Vorname]]&amp;" "&amp;tbl_Ernteverträge[[#This Row],[Name - Nachname]]</f>
        <v> </v>
      </c>
      <c r="N97" s="31"/>
      <c r="O97" s="31"/>
      <c r="P97" s="32"/>
      <c r="Q97" s="32"/>
      <c r="R97" s="33"/>
      <c r="S97" s="32"/>
      <c r="T97" s="32" t="str">
        <f aca="false">IF(AND(tbl_Ernteverträge[[#This Row],[Erste Lieferung]]-35&lt;TODAY(),OR(tbl_Ernteverträge[[#This Row],[Letzte Lieferung]]&gt;=TODAY(),tbl_Ernteverträge[[#This Row],[Letzte Lieferung]]=0)),"aktiv","inaktiv")</f>
        <v>aktiv</v>
      </c>
      <c r="U97" s="32"/>
    </row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T85:T1048576 T1:T83">
    <cfRule type="containsText" priority="2" operator="containsText" aboveAverage="0" equalAverage="0" bottom="0" percent="0" rank="0" text="inaktiv" dxfId="12">
      <formula>NOT(ISERROR(SEARCH("inaktiv",T1)))</formula>
    </cfRule>
  </conditionalFormatting>
  <conditionalFormatting sqref="A2:A97">
    <cfRule type="cellIs" priority="3" operator="equal" aboveAverage="0" equalAverage="0" bottom="0" percent="0" rank="0" text="" dxfId="13">
      <formula>""</formula>
    </cfRule>
  </conditionalFormatting>
  <conditionalFormatting sqref="T84">
    <cfRule type="containsText" priority="4" operator="containsText" aboveAverage="0" equalAverage="0" bottom="0" percent="0" rank="0" text="inaktiv" dxfId="12">
      <formula>NOT(ISERROR(SEARCH("inaktiv",T84)))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 sqmid="342a34f9-c0e4-46d6-8389-8c12f93aa27a">AAAAAIIMAABQSwMEFAACAAgAY1EKW9iXpmemAAAA9wAAABIAHABDb25maWcvUGFja2FnZS54bWwgohgAKKAUAAAAAAAAAAAAAAAAAAAAAAAAAAAAhY9NDoIwGESvQrqnf2o05KMs1J0kJibGbVMqNEIxUCx3c+GRvIIYRd25nDdvMXO/3iDpqzK46KY1tY0RwxQF2qo6MzaPUeeO4QIlArZSnWSug0G2bdS3WYwK584RId577Ce4bnLCKWXkkG52qtCVRB/Z/JdDY1snrdJIwP41RnDMpjPMKJ9jCmSkkBr7Nfgw+Nn+QFh2pesaLTIdrtZAxgjkfUI8AFBLAwQUAAIACABjUQp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Y1EKWwJ8wdp6CQAAvScAABMAHABGb3JtdWxhcy9TZWN0aW9uMS5tIKIYACigFAAAAAAAAAAAAAAAAAAAAAAAAAAAAM1a3W7bOBa+L9B3IBTswF7IXttJOtOddQvnP5vWm0nSFmgSBLR1bBORKA9JJU2CPMvc9Bnmqnd+sT2kZP3LcZJ2d1oUlUmK5/+c75CSMFTM5+Q4/L/968sXL1/ICRXgkPdMjV0GDgiXSQWkS1xQL18Q/PNbAK6rR7a/DMFtbgZCAFeffHE58P3LWv3utE896FondKAXdqzz+9NNnytcdP7yBePpXdIk1cC92Ba47gqEErOv4ydRLe7yGPqfqFBgJP5OrFRumObKDvddsXZh9pWjzhUIcnIztZAGatGF5omgXI584W36buBxnANZC/mw7+6sZGs6bvRF07KJwiWE8pt7m9xZc2vKaHKfq1drTb2Lmdbskgbp0+GE4+P8bQVfVHr+oy9Kp7cb7ylzm+3CRI/f0olLDHcU/zEXisRD9Q1vqmcu1opzR9Rh/sV6geR/hCqM7W/0+uUyHaABfMYn6KmC8cKaLaoCj7yn3KFKBiiAkMOJYKOYBI6DYl7IUm8gAY13C0xNA35Z5KM3mPhuceq+nnhl0QXSHrpiHfkTTZMT5k19oRiggkjAHYICAONsDNxKu+ohVZMTP37rQZfNrk/76F1LP2vna8/9NVyMtuc7vossL7t98sYDBOJAC1c3d9CBZK1A9qecmPVUPI2Yq7QyCQ3kGDCUULf4Cy0LDHg7ibBjcDENHvnXcVwRwHggpz2lBBsECuT529M95jjAz9+Sf70hSgSQkNoAHqhbEA6S5MyQ3NGm1gmWBiMRjDLkeo4TCltbhkubWOYZaUZ5ILR8bbVuRXyuVK+oxTquJ/x+8AbAKcdxcjylSD7N3RHoQA8ZlLVlhZuHlWb32A/EEJrm531CtaddGwjyMgJRTjs0REK7jFFNKU1hkX5S1LfFNQanYT8qTlyaLVPkt79MMd7Nc2ygaq4XGybcMdxG86nFqbaSVjOTUwauY9bowXrKYtt58ml7ef5Vyl4LBLULmtuk7jBwqTam/nkw+8YdNg74WI4EFi49hozp0qIfw8RrJC9P79bmBIYY91/SzyaFW7vOVAxTs8e+yxwqBsnuns+pchkuEmQD9CgZzb6JAo2qdZcuZkFYuHwXJPXUFNOl1FMOvUIn/nCsmqT289+y7hIrfCuYuuwSrZKofAtVw/hQ1coMk3Y5CepWJ/NPaI5MiE1dOoSP1A2gVk7LtrBW67/RWjF/6QTLhh2X114kZ4rzLV08cBG58gVxwCMn6GUcKxNqgJPrAAOZ4LSgEx3MzUqcEfpSVgKMvdLKboqxSUWacnMDcBvYQuzjaU+sXaCuCSomU/ieynB7IcePlT4tUbkDPVWsrO46ldZ/tPg2ErWtSs8wiCfFh9mbcbIr/Nkfg2A4kQrTAn+E3TuWxpkRkjKa+DCdgqiQOwdiqs0VAtlqBjXRXRgEQklHg7E08EpDzF4Vuqxy1PJl5dZPrS3R6YF+Z0mdFvRiwLuBz3O1vvOvl1Xr0lrNs6ip9gOsq2KuT25+hcDYPF50clOVXl3p1HlubR64rt0q+KxZb6c4SrNQacBFJssi6hy7aUB9SAUWQZxaRSHK6i/BWUpO92W8EsGhuOlq7GeTDcapuNlHRKjYCCOzW7aFrYVH7Bsu1u6U2+wIfg8YcmM2Pc/i/ex2JaihtC/dlFfNLX8YeMhYLZHRPo3zVleXFRI5Znf1F5ts86HvMD7uvlpvtdo2buYrOFY3LnSTx2bf53CeeMLe7E9dUscgVTDC2rUHVKP62CMOhe/hu+FwAqxPo/Ge6x4PqUuFDGXPmK1i70X6SRTyI5ufH937PK/1mTv9P88+SNT52Z4OD3G2Jfwpoq4zhFz0mpFDEH4g4ay1fvERxDWiFsR7P+2fnLU6F7mjn7P53o0d9DwEiuLswvggQipfNAx4Y0o1IH0G0Wl1Vhud1dZqp9V6jf/Wm0N5pW0TynV3umJFEmj+re6DgtmhEpcmvNbutH5ur7VeG8IpVaOH/ZVVlHXvymYh5eWxp6QinVBJBibf1En3Tbz0eUni9SOTREzy++cJs3VkyIUU5tYunvatWPvmCIVsRNYB0t/+UKrYkMc+bg3Ov32mO8JlzmGSozELC2vOZbKTVm4W39WEDhh3mu9gpBDesDi09xi/DcaA/c4YmR4UW/OwC+mUHTbMNWvdBnL2Vd2aniiFnqIjjwyoOm+0Y9qpo4rPeo6XHqA8gseIZA0Twid0WnxhgjZxkC2C9nxrneP+Fv5qeMOJgga9VFqCxqUOWR4GVFj1G9LXYIM3eCAaqH5fSmx6hxM6UtKLtNu41jwgz4iylyS4eKcGmrzhMdHwSvgx7Sb2gk/q4IuKRoRUyjAaE1fgCLr/NuM6t2CiSmBUHlCFDfxqCKHINbjIpkc+alIsPJ0k3uxPLbzETQPcV+Ny8GbfJBCqjzCBG6rHSGr2Bxi336OBRKDoheQO3302o+FhrHWA8cawWcaGWQWK1HQqR/C0v6nBkT6xtclWBO6fBPdK46ekO35c/JSf1RVNqI8X/jGaO7JlPZbOajmhZblE8id0bKz/GSuPlKHxDTNsRE7LAv2cvOmSNlG6udQlprmDebamn06YB9iCYLLt+9e1ep2AK3ULgMA9abweK2HFsefS+kERjWNjko67QCPfYt6fwfHaszhux0Zpkl4gMXUAw2Qhn+4j68/iJzx7ExiRT+fg1bM4WE9pJJOjnmjGPgSE8jH4wuFQnk5xCkSST5cW09Z3S7iXTh5RHjUZ06TRwj1Z8WrMGo9HTd1064wqQINGE5w7THjU5CXHESAlvhQlUDuXPZMFmEezA1FCjU8MsMN3YRSe2+aOSaKkVIycqtJfmkYq3Dj2plKjzo+JrDDRR7ohtfRt298Zr+f69CqjlqK23O3sXxO67XPsK5KWLDmUz7+z4PYhRmxFOsV73ej6M2OA4iXngnvNzG1xRKlZoJJfEFHND8+5yI9XcJVftoDLWKefA0kxbriJ7IlWbW8wQkdM54KM9RcYQYtehqRQJ8WPCkovfLU7lHx/sAjMVwvQrpBggchZz1z4+UHm3n7Od/XHCotEWLYnWCTqvPP4X4HypToA7KAbJikoWUnS0DJMaYq69+C+5nNBP2D/4G7gEQUmCtxCxXmohuVrTaoMFQ7kC+X0oarw/VqLeQLKthilEfqg/0co4P4ZGKSkd1gi2S4FOhJE8MQG6sFe8f+d8+2qLvcZTWxizOJHBtUfQ1QZ3ja3iM/pqFMfCN3f15OTyhLufv0vUEsBAi0AFAACAAgAY1EKW9iXpmemAAAA9wAAABIAAAAAAAAAAAAAAAAAAAAAAENvbmZpZy9QYWNrYWdlLnhtbFBLAQItABQAAgAIAGNRClsPyumrpAAAAOkAAAATAAAAAAAAAAAAAAAAAPIAAABbQ29udGVudF9UeXBlc10ueG1sUEsBAi0AFAACAAgAY1EKWwJ8wdp6CQAAvScAABMAAAAAAAAAAAAAAAAA4wEAAEZvcm11bGFzL1NlY3Rpb24xLm1QSwUGAAAAAAMAAwDCAAAAqgs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+7okAAAAAAADMi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EVudHJ5IFR5cGU9IlF1ZXJ5R3JvdXBzIiBWYWx1ZT0ic0FnQUFBQUFBQUFCUmRQS1IrUnU3UUk4YVk0RXR6cTRCTUVSaGRHVnBJR0YxY3lBZ1VtOW9aR0YwWlc0dFJtOXliWFZzWVhJZ0lIUnlZVzV6Wm05eWJXbGxjbVZ1SUNnektRQUFCQUFBQUFBQUFBQldyMGlUTldPcFI3UzJiVnRxQ1B0M0ZVaHBiR1p6Y0hKdlozSmhiVzFoWW1aeVlXZGxiZ0FCVVhUeWtma2J1MENQR21PQkxjNnVBUUFBQUFBPSIgLz48L1N0YWJsZUVudHJpZXM+PC9JdGVtPjxJdGVtPjxJdGVtTG9jYXRpb24+PEl0ZW1UeXBlPkZvcm11bGE8L0l0ZW1UeXBlPjxJdGVtUGF0aD5TZWN0aW9uMS9NaXRnbGllZGVybGlzdGU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SIgLz48RW50cnkgVHlwZT0iTmF2aWdhdGlvblN0ZXBOYW1lIiBWYWx1ZT0ic05hdmlnYXRpb24iIC8+PEVudHJ5IFR5cGU9IkZpbGxlZENvbXBsZXRlUmVzdWx0VG9Xb3Jrc2hlZXQiIFZhbHVlPSJsMCIgLz48RW50cnkgVHlwZT0iRmlsbEVycm9yQ29kZSIgVmFsdWU9InNVbmtub3duIiAvPjxFbnRyeSBUeXBlPSJRdWVyeUlEIiBWYWx1ZT0iczUxMjU5Y2ViLTk2MGItNDdmZS1iMGVjLTllMmY0MjIzZmNjYyIgLz48RW50cnkgVHlwZT0iQWRkZWRUb0RhdGFNb2RlbCIgVmFsdWU9ImwwIiAvPjxFbnRyeSBUeXBlPSJGaWxsTGFzdFVwZGF0ZWQiIFZhbHVlPSJkMjAyNS0wOC0xMFQwODoxMDo1Ny42OTQ3ODgzWiIgLz48RW50cnkgVHlwZT0iRmlsbFN0YXR1cyIgVmFsdWU9InNDb21wbGV0ZSIgLz48L1N0YWJsZUVudHJpZXM+PC9JdGVtPjxJdGVtPjxJdGVtTG9jYXRpb24+PEl0ZW1UeXBlPkZvcm11bGE8L0l0ZW1UeXBlPjxJdGVtUGF0aD5TZWN0aW9uMS9NaXRnbGllZGVybGlzdGUvUXVlbGxlPC9JdGVtUGF0aD48L0l0ZW1Mb2NhdGlvbj48U3RhYmxlRW50cmllcyAvPjwvSXRlbT48SXRlbT48SXRlbUxvY2F0aW9uPjxJdGVtVHlwZT5Gb3JtdWxhPC9JdGVtVHlwZT48SXRlbVBhdGg+U2VjdGlvbjEvdGJsX0VybnRldmVydHIlQzMlQTRnZTwvSXRlbVBhdGg+PC9JdGVtTG9jYXRpb24+PFN0YWJsZUVudHJpZXM+PEVudHJ5IFR5cGU9IklzUHJpdmF0ZSIgVmFsdWU9ImwwIiAvPjxFbnRyeSBUeXBlPSJGaWxsRW5hYmxlZCIgVmFsdWU9ImwwIiAvPjxFbnRyeSBUeXBlPSJGaWxsT2JqZWN0VHlwZSIgVmFsdWU9InNDb25uZWN0aW9uT25seSIgLz48RW50cnkgVHlwZT0iRmlsbFRvRGF0YU1vZGVsRW5hYmxlZCIgVmFsdWU9ImwwIiAvPjxFbnRyeSBUeXBlPSJOYXZpZ2F0aW9uU3RlcE5hbWUiIFZhbHVlPSJzTmF2aWdhdGlvbiIgLz48RW50cnkgVHlwZT0iUmVzdWx0VHlwZSIgVmFsdWU9InNUYWJsZSIgLz48RW50cnkgVHlwZT0iQnVmZmVyTmV4dFJlZnJlc2giIFZhbHVlPSJsMSIgLz48RW50cnkgVHlwZT0iRmlsbGVkQ29tcGxldGVSZXN1bHRUb1dvcmtzaGVldCIgVmFsdWU9ImwwIiAvPjxFbnRyeSBUeXBlPSJGaWxsRXJyb3JDb2RlIiBWYWx1ZT0ic1Vua25vd24iIC8+PEVudHJ5IFR5cGU9IlF1ZXJ5SUQiIFZhbHVlPSJzM2U1OTEzZWQtYTBhNC00Y2IwLTk5M2MtNGIzMjg0NDc5OTFlIiAvPjxFbnRyeSBUeXBlPSJBZGRlZFRvRGF0YU1vZGVsIiBWYWx1ZT0ibDAiIC8+PEVudHJ5IFR5cGU9IkZpbGxMYXN0VXBkYXRlZCIgVmFsdWU9ImQyMDI1LTA4LTEwVDA4OjEwOjU3LjcwMjk1MTZaIiAvPjxFbnRyeSBUeXBlPSJGaWxsU3RhdHVzIiBWYWx1ZT0ic0NvbXBsZXRlIiAvPjwvU3RhYmxlRW50cmllcz48L0l0ZW0+PEl0ZW0+PEl0ZW1Mb2NhdGlvbj48SXRlbVR5cGU+Rm9ybXVsYTwvSXRlbVR5cGU+PEl0ZW1QYXRoPlNlY3Rpb24xL3RibF9Fcm50ZXZlcnRyJUMzJUE0Z2UvUXVlbGxlPC9JdGVtUGF0aD48L0l0ZW1Mb2NhdGlvbj48U3RhYmxlRW50cmllcyAvPjwvSXRlbT48SXRlbT48SXRlbUxvY2F0aW9uPjxJdGVtVHlwZT5Gb3JtdWxhPC9JdGVtVHlwZT48SXRlbVBhdGg+U2VjdGlvbjEvdGJsX1dhcnRlbGlzdGVfRXJudGV2ZXJ0ciVDMyVBNGdl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EiIC8+PEVudHJ5IFR5cGU9Ik5hdmlnYXRpb25TdGVwTmFtZSIgVmFsdWU9InNOYXZpZ2F0aW9uIiAvPjxFbnRyeSBUeXBlPSJGaWxsZWRDb21wbGV0ZVJlc3VsdFRvV29ya3NoZWV0IiBWYWx1ZT0ibDAiIC8+PEVudHJ5IFR5cGU9IkZpbGxFcnJvckNvZGUiIFZhbHVlPSJzVW5rbm93biIgLz48RW50cnkgVHlwZT0iUXVlcnlJRCIgVmFsdWU9InM2MDA0NDgwZS1lM2RiLTRiOWYtYTg0My1lN2ZmNGFhMDJmNGUiIC8+PEVudHJ5IFR5cGU9IkFkZGVkVG9EYXRhTW9kZWwiIFZhbHVlPSJsMCIgLz48RW50cnkgVHlwZT0iRmlsbExhc3RVcGRhdGVkIiBWYWx1ZT0iZDIwMjUtMDgtMTBUMDg6MTA6NTcuNzA1MTM2NFoiIC8+PEVudHJ5IFR5cGU9IkZpbGxTdGF0dXMiIFZhbHVlPSJzQ29tcGxldGUiIC8+PC9TdGFibGVFbnRyaWVzPjwvSXRlbT48SXRlbT48SXRlbUxvY2F0aW9uPjxJdGVtVHlwZT5Gb3JtdWxhPC9JdGVtVHlwZT48SXRlbVBhdGg+U2VjdGlvbjEvdGJsX1dhcnRlbGlzdGVfRXJudGV2ZXJ0ciVDMyVBNGdlL1F1ZWxsZTwvSXRlbVBhdGg+PC9JdGVtTG9jYXRpb24+PFN0YWJsZUVudHJpZXMgLz48L0l0ZW0+PEl0ZW0+PEl0ZW1Mb2NhdGlvbj48SXRlbVR5cGU+Rm9ybXVsYTwvSXRlbVR5cGU+PEl0ZW1QYXRoPlNlY3Rpb24xL3RibF9XYXJ0ZWxpc3RlX0VybnRldmVydHIlQzMlQTRnZS9HZSVDMyVBNG5kZXJ0ZXIlMjBUeXA8L0l0ZW1QYXRoPjwvSXRlbUxvY2F0aW9uPjxTdGFibGVFbnRyaWVzIC8+PC9JdGVtPjxJdGVtPjxJdGVtTG9jYXRpb24+PEl0ZW1UeXBlPkZvcm11bGE8L0l0ZW1UeXBlPjxJdGVtUGF0aD5TZWN0aW9uMS9QYXJhbWV0ZXIzPC9JdGVtUGF0aD48L0l0ZW1Mb2NhdGlvbj48U3RhYmxlRW50cmllcz48RW50cnkgVHlwZT0iSXNQcml2YXRlIiBWYWx1ZT0ibDAiIC8+PEVudHJ5IFR5cGU9IkxvYWRUb1JlcG9ydERpc2FibGVkIiBWYWx1ZT0ibDEiIC8+PEVudHJ5IFR5cGU9IlF1ZXJ5R3JvdXBJRCIgVmFsdWU9InM5MzQ4YWY1Ni02MzM1LTQ3YTktYjRiNi02ZDViNmEwOGZiNzciIC8+PEVudHJ5IFR5cGU9IkZpbGxFbmFibGVkIiBWYWx1ZT0ibDAiIC8+PEVudHJ5IFR5cGU9IkZpbGxMYXN0VXBkYXRlZCIgVmFsdWU9ImQyMDIxLTA4LTI0VDEzOjA3OjA4LjIwMzI2NjJaIiAvPjxFbnRyeSBUeXBlPSJSZXN1bHRUeXBlIiBWYWx1ZT0ic0V4Y2VwdGlvbiIgLz48RW50cnkgVHlwZT0iRmlsbGVkQ29tcGxldGVSZXN1bHRUb1dvcmtzaGVldCIgVmFsdWU9ImwwIiAvPjxFbnRyeSBUeXBlPSJGaWxsU3RhdHVzIiBWYWx1ZT0ic0NvbXBsZXRlIiAvPjxFbnRyeSBUeXBlPSJGaWxsRXJyb3JDb2RlIiBWYWx1ZT0ic1Vua25vd24iIC8+PEVudHJ5IFR5cGU9IkFkZGVkVG9EYXRhTW9kZWwiIFZhbHVlPSJsMCIgLz48RW50cnkgVHlwZT0iRmlsbFRvRGF0YU1vZGVsRW5hYmxlZCIgVmFsdWU9ImwwIiAvPjxFbnRyeSBUeXBlPSJGaWxsT2JqZWN0VHlwZSIgVmFsdWU9InNDb25uZWN0aW9uT25seSIgLz48RW50cnkgVHlwZT0iUXVlcnlJRCIgVmFsdWU9InM0NzcxODk3MC01ZDQ1LTRhNzMtODQzNS1iYWYzODE3ZGJhYWIiIC8+PEVudHJ5IFR5cGU9IkJ1ZmZlck5leHRSZWZyZXNoIiBWYWx1ZT0ibDEiIC8+PEVudHJ5IFR5cGU9Ik5hdmlnYXRpb25TdGVwTmFtZSIgVmFsdWU9InNOYXZpZ2F0aW9uIiAvPjwvU3RhYmxlRW50cmllcz48L0l0ZW0+PEl0ZW0+PEl0ZW1Mb2NhdGlvbj48SXRlbVR5cGU+Rm9ybXVsYTwvSXRlbVR5cGU+PEl0ZW1QYXRoPlNlY3Rpb24xL0JlaXNwaWVsZGF0ZWklMjAoMyk8L0l0ZW1QYXRoPjwvSXRlbUxvY2F0aW9uPjxTdGFibGVFbnRyaWVzPjxFbnRyeSBUeXBlPSJJc1ByaXZhdGUiIFZhbHVlPSJsMCIgLz48RW50cnkgVHlwZT0iTG9hZFRvUmVwb3J0RGlzYWJsZWQiIFZhbHVlPSJsMSIgLz48RW50cnkgVHlwZT0iUXVlcnlHcm91cElEIiBWYWx1ZT0iczkzNDhhZjU2LTYzMzUtNDdhOS1iNGI2LTZkNWI2YTA4ZmI3NyIgLz48RW50cnkgVHlwZT0iRmlsbEVuYWJsZWQiIFZhbHVlPSJsMCIgLz48RW50cnkgVHlwZT0iQnVmZmVyTmV4dFJlZnJlc2giIFZhbHVlPSJsMSIgLz48RW50cnkgVHlwZT0iUmVzdWx0VHlwZSIgVmFsdWU9InNFeGNlcHRpb24iIC8+PEVudHJ5IFR5cGU9Ik5hbWVVcGRhdGVkQWZ0ZXJGaWxsIiBWYWx1ZT0ibDEiIC8+PEVudHJ5IFR5cGU9IkZpbGxlZENvbXBsZXRlUmVzdWx0VG9Xb3Jrc2hlZXQiIFZhbHVlPSJsMCIgLz48RW50cnkgVHlwZT0iTmF2aWdhdGlvblN0ZXBOYW1lIiBWYWx1ZT0ic05hdmlnYXRpb24iIC8+PEVudHJ5IFR5cGU9IlF1ZXJ5SUQiIFZhbHVlPSJzYTlkZTlkZjMtN2MxZS00NzUxLThmY2ItYmUwOWI3YTUxNzU4IiAvPjxFbnRyeSBUeXBlPSJGaWxsRXJyb3JDb2RlIiBWYWx1ZT0ic1Vua25vd24iIC8+PEVudHJ5IFR5cGU9IkZpbGxUb0RhdGFNb2RlbEVuYWJsZWQiIFZhbHVlPSJsMCIgLz48RW50cnkgVHlwZT0iRmlsbE9iamVjdFR5cGUiIFZhbHVlPSJzQ29ubmVjdGlvbk9ubHkiIC8+PEVudHJ5IFR5cGU9IkFkZGVkVG9EYXRhTW9kZWwiIFZhbHVlPSJsMCIgLz48RW50cnkgVHlwZT0iRmlsbExhc3RVcGRhdGVkIiBWYWx1ZT0iZDIwMjUtMDgtMTBUMDg6MTA6NTcuNzI3MjUzNVoiIC8+PEVudHJ5IFR5cGU9IkZpbGxTdGF0dXMiIFZhbHVlPSJzQ29tcGxldGUiIC8+PC9TdGFibGVFbnRyaWVzPjwvSXRlbT48SXRlbT48SXRlbUxvY2F0aW9uPjxJdGVtVHlwZT5Gb3JtdWxhPC9JdGVtVHlwZT48SXRlbVBhdGg+U2VjdGlvbjEvQmVpc3BpZWxkYXRlaSUyMHRyYW5zZm9ybWllcmVuJTIwKDMpPC9JdGVtUGF0aD48L0l0ZW1Mb2NhdGlvbj48U3RhYmxlRW50cmllcz48RW50cnkgVHlwZT0iSXNQcml2YXRlIiBWYWx1ZT0ibDAiIC8+PEVudHJ5IFR5cGU9IkxvYWRUb1JlcG9ydERpc2FibGVkIiBWYWx1ZT0ibDEiIC8+PEVudHJ5IFR5cGU9IlF1ZXJ5R3JvdXBJRCIgVmFsdWU9InM5MWYyNzQ1MS0xYmY5LTQwYmItOGYxYS02MzgxMmRjZWFlMDEiIC8+PEVudHJ5IFR5cGU9IkZpbGxFbmFibGVkIiBWYWx1ZT0ibDAiIC8+PEVudHJ5IFR5cGU9Ik5hdmlnYXRpb25TdGVwTmFtZSIgVmFsdWU9InNOYXZpZ2F0aW9uIiAvPjxFbnRyeSBUeXBlPSJOYW1lVXBkYXRlZEFmdGVyRmlsbCIgVmFsdWU9ImwxIiAvPjxFbnRyeSBUeXBlPSJSZXN1bHRUeXBlIiBWYWx1ZT0ic0V4Y2VwdGlvbiIgLz48RW50cnkgVHlwZT0iRmlsbGVkQ29tcGxldGVSZXN1bHRUb1dvcmtzaGVldCIgVmFsdWU9ImwwIiAvPjxFbnRyeSBUeXBlPSJGaWxsVG9EYXRhTW9kZWxFbmFibGVkIiBWYWx1ZT0ibDAiIC8+PEVudHJ5IFR5cGU9IkZpbGxPYmplY3RUeXBlIiBWYWx1ZT0ic0Nvbm5lY3Rpb25Pbmx5IiAvPjxFbnRyeSBUeXBlPSJCdWZmZXJOZXh0UmVmcmVzaCIgVmFsdWU9ImwxIiAvPjxFbnRyeSBUeXBlPSJGaWxsRXJyb3JDb2RlIiBWYWx1ZT0ic1Vua25vd24iIC8+PEVudHJ5IFR5cGU9IlF1ZXJ5SUQiIFZhbHVlPSJzMDUyMjQ3YjMtYzcwNy00YTFiLTkzMDAtYjNkZmRmMDBjYjViIiAvPjxFbnRyeSBUeXBlPSJBZGRlZFRvRGF0YU1vZGVsIiBWYWx1ZT0ibDAiIC8+PEVudHJ5IFR5cGU9IkZpbGxMYXN0VXBkYXRlZCIgVmFsdWU9ImQyMDI1LTA4LTEwVDA4OjEwOjU3LjcyNDI1MzBaIiAvPjxFbnRyeSBUeXBlPSJGaWxsU3RhdHVzIiBWYWx1ZT0ic0NvbXBsZXRlIiAvPjwvU3RhYmxlRW50cmllcz48L0l0ZW0+PEl0ZW0+PEl0ZW1Mb2NhdGlvbj48SXRlbVR5cGU+Rm9ybXVsYTwvSXRlbVR5cGU+PEl0ZW1QYXRoPlNlY3Rpb24xL0JlaXNwaWVsZGF0ZWklMjB0cmFuc2Zvcm1pZXJlbiUyMCgzKS9RdWVsbGU8L0l0ZW1QYXRoPjwvSXRlbUxvY2F0aW9uPjxTdGFibGVFbnRyaWVzIC8+PC9JdGVtPjxJdGVtPjxJdGVtTG9jYXRpb24+PEl0ZW1UeXBlPkZvcm11bGE8L0l0ZW1UeXBlPjxJdGVtUGF0aD5TZWN0aW9uMS9CZWlzcGllbGRhdGVpJTIwdHJhbnNmb3JtaWVyZW4lMjAoMykvSCVDMyVCNmhlciUyMGdlc3R1ZnRlJTIwSGVhZGVyPC9JdGVtUGF0aD48L0l0ZW1Mb2NhdGlvbj48U3RhYmxlRW50cmllcyAvPjwvSXRlbT48SXRlbT48SXRlbUxvY2F0aW9uPjxJdGVtVHlwZT5Gb3JtdWxhPC9JdGVtVHlwZT48SXRlbVBhdGg+U2VjdGlvbjEvRGF0ZWklMjB0cmFuc2Zvcm1pZXJlbiUyMCgzKTwvSXRlbVBhdGg+PC9JdGVtTG9jYXRpb24+PFN0YWJsZUVudHJpZXM+PEVudHJ5IFR5cGU9IkxvYWRUb1JlcG9ydERpc2FibGVkIiBWYWx1ZT0ibDEiIC8+PEVudHJ5IFR5cGU9IlF1ZXJ5R3JvdXBJRCIgVmFsdWU9InM5MzQ4YWY1Ni02MzM1LTQ3YTktYjRiNi02ZDViNmEwOGZiNzciIC8+PEVudHJ5IFR5cGU9IklzUHJpdmF0ZSIgVmFsdWU9Imww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0Z1bmN0aW9uIiAvPjxFbnRyeSBUeXBlPSJGaWxsZWRDb21wbGV0ZVJlc3VsdFRvV29ya3NoZWV0IiBWYWx1ZT0ibDAiIC8+PEVudHJ5IFR5cGU9IkZpbGxTdGF0dXMiIFZhbHVlPSJzQ29tcGxldGUiIC8+PEVudHJ5IFR5cGU9Ik5hdmlnYXRpb25TdGVwTmFtZSIgVmFsdWU9InNOYXZpZ2F0aW9uIiAvPjxFbnRyeSBUeXBlPSJGaWxsTGFzdFVwZGF0ZWQiIFZhbHVlPSJkMjAyMy0wMy0yMFQxMDozMzoxMC4zMTQzNTU0WiIgLz48RW50cnkgVHlwZT0iRmlsbEVycm9yQ29kZSIgVmFsdWU9InNVbmtub3duIiAvPjxFbnRyeSBUeXBlPSJBZGRlZFRvRGF0YU1vZGVsIiBWYWx1ZT0ibDAiIC8+PEVudHJ5IFR5cGU9IlF1ZXJ5SUQiIFZhbHVlPSJzMzU4MDU4YTYtNDBmZS00OWQ0LWEwYjgtODc5Y2M2ZTg3ZmNjIiAvPjwvU3RhYmxlRW50cmllcz48L0l0ZW0+PEl0ZW0+PEl0ZW1Mb2NhdGlvbj48SXRlbVR5cGU+Rm9ybXVsYTwvSXRlbVR5cGU+PEl0ZW1QYXRoPlNlY3Rpb24xL0RhdGVpJTIwdHJhbnNmb3JtaWVyZW4lMjAoMykvUXVlbGxlPC9JdGVtUGF0aD48L0l0ZW1Mb2NhdGlvbj48U3RhYmxlRW50cmllcyAvPjwvSXRlbT48SXRlbT48SXRlbUxvY2F0aW9uPjxJdGVtVHlwZT5Gb3JtdWxhPC9JdGVtVHlwZT48SXRlbVBhdGg+U2VjdGlvbjEvUm9oZGF0ZW4lMjBpbXBvcnRpZXJlbiUyMHVuZCUyMGJlcmVpbmlnZW48L0l0ZW1QYXRoPjwvSXRlbUxvY2F0aW9uPjxTdGFibGVFbnRyaWVzPjxFbnRyeSBUeXBlPSJJc1ByaXZhdGUiIFZhbHVlPSJsMCIgLz48RW50cnkgVHlwZT0iRmlsbEVuYWJsZWQiIFZhbHVlPSJsMCIgLz48RW50cnkgVHlwZT0iTmF2aWdhdGlvblN0ZXBOYW1lIiBWYWx1ZT0ic05hdmlnYXRpb24iIC8+PEVudHJ5IFR5cGU9Ik5hbWVVcGRhdGVkQWZ0ZXJGaWxsIiBWYWx1ZT0ibDAiIC8+PEVudHJ5IFR5cGU9IlJlc3VsdFR5cGUiIFZhbHVlPSJzRXhjZXB0aW9uIiAvPjxFbnRyeSBUeXBlPSJCdWZmZXJOZXh0UmVmcmVzaCIgVmFsdWU9ImwxIiAvPjxFbnRyeSBUeXBlPSJGaWxsZWRDb21wbGV0ZVJlc3VsdFRvV29ya3NoZWV0IiBWYWx1ZT0ibDAiIC8+PEVudHJ5IFR5cGU9IlJlY292ZXJ5VGFyZ2V0Q29sdW1uIiBWYWx1ZT0ibDEiIC8+PEVudHJ5IFR5cGU9IlJlY292ZXJ5VGFyZ2V0U2hlZXQiIFZhbHVlPSJzUm9oZGF0ZW4gaW1wb3J0aWVyZW4gdW5kIGJlcmVpbiIgLz48RW50cnkgVHlwZT0iUmVjb3ZlcnlUYXJnZXRSb3ciIFZhbHVlPSJsMSIgLz48RW50cnkgVHlwZT0iRmlsbFRvRGF0YU1vZGVsRW5hYmxlZCIgVmFsdWU9ImwwIiAvPjxFbnRyeSBUeXBlPSJGaWxsT2JqZWN0VHlwZSIgVmFsdWU9InNDb25uZWN0aW9uT25seSIgLz48RW50cnkgVHlwZT0iUXVlcnlJRCIgVmFsdWU9InM2NjhlZGJiNS04YjQ3LTQxZDItYWNlNi00YTkyMzgxOWFmYzAiIC8+PEVudHJ5IFR5cGU9IkZpbGxMYXN0VXBkYXRlZCIgVmFsdWU9ImQyMDI1LTA4LTEwVDA4OjEwOjU3LjcwODIxNDBaIiAvPjxFbnRyeSBUeXBlPSJGaWxsQ29sdW1uVHlwZXMiIFZhbHVlPSJzQUFBQUFBQUFBQUFKQUFBREFBQUFBQUFBQUFBQUFBQUFBdz09IiAvPjxFbnRyeSBUeXBlPSJGaWxsRXJyb3JDb2RlIiBWYWx1ZT0ic1Vua25vd24iIC8+PEVudHJ5IFR5cGU9IkFkZGVkVG9EYXRhTW9kZWwiIFZhbHVlPSJsMCIgLz48RW50cnkgVHlwZT0iRmlsbENvbHVtbk5hbWVzIiBWYWx1ZT0ic1smcXVvdDtTdWJtaXNzaW9uIFRpbWUmcXVvdDssJnF1b3Q7V2FzIGbDvGhydCBkaWNoIGhlcj8mcXVvdDssJnF1b3Q7TmFtZSAtIFZvcm5hbWUmcXVvdDssJnF1b3Q7TmFtZSAtIE5hY2huYW1lJnF1b3Q7LCZxdW90O0FkZHJlc3MgLSBTdHJhw59lLCBIYXVzbnVtbWVyJnF1b3Q7LCZxdW90O0FkZHJlc3MgLSBPcnQmcXVvdDssJnF1b3Q7QWRkcmVzcyAtIFBMWiZxdW90OywmcXVvdDtnZ2YuIGluIFZlcnRyZXR1bmcgZGVyIEZpcm1hJnF1b3Q7LCZxdW90O0dlYnVydHNkYXR1bSZxdW90OywmcXVvdDtUZWxlZm9uJnF1b3Q7LCZxdW90O0UtTWFpbCZxdW90OywmcXVvdDtBbnphaGwgQW50ZWlsZSZxdW90OywmcXVvdDtSYXRlbnphaGx1bmcmcXVvdDssJnF1b3Q7UmFkaW8mcXVvdDssJnF1b3Q7Q3VycmVuY3kmcXVvdDssJnF1b3Q7Q3VycmVuY3lfMyZxdW90OywmcXVvdDtSYWRpb180JnF1b3Q7LCZxdW90O0FuIHdlbGNoZW0gVmVydGVpbHB1bmt0IG3DtmNodGVzdCBkdSBkZWluIEdlbcO8c2UgYWJob2xlbj8mcXVvdDssJnF1b3Q7TmFtZSwgVm9ybmFtZSAoS29udG9pbmhhYmVyKmluKSZxdW90OywmcXVvdDtTdHJhw59lIHVuZCBIYXVzbnVtbWVyJnF1b3Q7LCZxdW90O1BMWiB1bmQgT3J0JnF1b3Q7LCZxdW90O0tyZWRpdGluc3RpdHV0IChOYW1lLCBCSUMpJnF1b3Q7LCZxdW90O0lCQU4mcXVvdDssJnF1b3Q7T3J0LCBEYXR1bSZxdW90OywmcXVvdDtBbnphaGwgRXJudGVhbnRlaWxlJnF1b3Q7XSIgLz48RW50cnkgVHlwZT0iRmlsbFN0YXR1cyIgVmFsdWU9InNDb21wbGV0ZSIgLz48RW50cnkgVHlwZT0iUmVsYXRpb25zaGlwSW5mb0NvbnRhaW5lciIgVmFsdWU9InN7JnF1b3Q7Y29sdW1uQ291bnQmcXVvdDs6MjUsJnF1b3Q7a2V5Q29sdW1uTmFtZXMmcXVvdDs6W10sJnF1b3Q7cXVlcnlSZWxhdGlvbnNoaXBzJnF1b3Q7OltdLCZxdW90O2NvbHVtbklkZW50aXRpZXMmcXVvdDs6WyZxdW90O1NlY3Rpb24xL1JvaGRhdGVuIGltcG9ydGllcmVuIHVuZCBiZXJlaW5pZ2VuL0Vyd2VpdGVydGUgVGFiZWxsZW5zcGFsdGUxLntTdWJtaXNzaW9uIFRpbWUsMX0mcXVvdDssJnF1b3Q7U2VjdGlvbjEvUm9oZGF0ZW4gaW1wb3J0aWVyZW4gdW5kIGJlcmVpbmlnZW4vRXJ3ZWl0ZXJ0ZSBUYWJlbGxlbnNwYWx0ZTEue1dhcyBmw7xocnQgZGljaCBoZXI/LDJ9JnF1b3Q7LCZxdW90O1NlY3Rpb24xL1JvaGRhdGVuIGltcG9ydGllcmVuIHVuZCBiZXJlaW5pZ2VuL0Vyd2VpdGVydGUgVGFiZWxsZW5zcGFsdGUxLntOYW1lIC0gVm9ybmFtZSwzfSZxdW90OywmcXVvdDtTZWN0aW9uMS9Sb2hkYXRlbiBpbXBvcnRpZXJlbiB1bmQgYmVyZWluaWdlbi9FcndlaXRlcnRlIFRhYmVsbGVuc3BhbHRlMS57TmFtZSAtIE5hY2huYW1lLDR9JnF1b3Q7LCZxdW90O1NlY3Rpb24xL1JvaGRhdGVuIGltcG9ydGllcmVuIHVuZCBiZXJlaW5pZ2VuL0Vyd2VpdGVydGUgVGFiZWxsZW5zcGFsdGUxLntBZGRyZXNzIC0gU3RyYcOfZSwgSGF1c251bW1lciw1fSZxdW90OywmcXVvdDtTZWN0aW9uMS9Sb2hkYXRlbiBpbXBvcnRpZXJlbiB1bmQgYmVyZWluaWdlbi9FcndlaXRlcnRlIFRhYmVsbGVuc3BhbHRlMS57QWRkcmVzcyAtIE9ydCw2fSZxdW90OywmcXVvdDtTZWN0aW9uMS9Sb2hkYXRlbiBpbXBvcnRpZXJlbiB1bmQgYmVyZWluaWdlbi9FcndlaXRlcnRlIFRhYmVsbGVuc3BhbHRlMS57QWRkcmVzcyAtIFBMWiw3fSZxdW90OywmcXVvdDtTZWN0aW9uMS9Sb2hkYXRlbiBpbXBvcnRpZXJlbiB1bmQgYmVyZWluaWdlbi9FcndlaXRlcnRlIFRhYmVsbGVuc3BhbHRlMS57Z2dmLiBpbiBWZXJ0cmV0dW5nIGRlciBGaXJtYSw4fSZxdW90OywmcXVvdDtTZWN0aW9uMS9Sb2hkYXRlbiBpbXBvcnRpZXJlbiB1bmQgYmVyZWluaWdlbi9HZcOkbmRlcnRlciBUeXAxLntHZWJ1cnRzZGF0dW0sOX0mcXVvdDssJnF1b3Q7U2VjdGlvbjEvUm9oZGF0ZW4gaW1wb3J0aWVyZW4gdW5kIGJlcmVpbmlnZW4vRXJ3ZWl0ZXJ0ZSBUYWJlbGxlbnNwYWx0ZTEue1RlbGVmb24sMTB9JnF1b3Q7LCZxdW90O1NlY3Rpb24xL1JvaGRhdGVuIGltcG9ydGllcmVuIHVuZCBiZXJlaW5pZ2VuL0Vyd2VpdGVydGUgVGFiZWxsZW5zcGFsdGUxLntFLU1haWwsMTF9JnF1b3Q7LCZxdW90O1NlY3Rpb24xL1JvaGRhdGVuIGltcG9ydGllcmVuIHVuZCBiZXJlaW5pZ2VuL0dlw6RuZGVydGVyIFR5cDEue0FuemFobCBBbnRlaWxlLDEyfSZxdW90OywmcXVvdDtTZWN0aW9uMS9Sb2hkYXRlbiBpbXBvcnRpZXJlbiB1bmQgYmVyZWluaWdlbi9FcndlaXRlcnRlIFRhYmVsbGVuc3BhbHRlMS57UmF0ZW56YWhsdW5nLDE0fSZxdW90OywmcXVvdDtTZWN0aW9uMS9Sb2hkYXRlbiBpbXBvcnRpZXJlbiB1bmQgYmVyZWluaWdlbi9FcndlaXRlcnRlIFRhYmVsbGVuc3BhbHRlMS57UmFkaW8sMTV9JnF1b3Q7LCZxdW90O1NlY3Rpb24xL1JvaGRhdGVuIGltcG9ydGllcmVuIHVuZCBiZXJlaW5pZ2VuL0Vyd2VpdGVydGUgVGFiZWxsZW5zcGFsdGUxLntDdXJyZW5jeSwyMX0mcXVvdDssJnF1b3Q7U2VjdGlvbjEvUm9oZGF0ZW4gaW1wb3J0aWVyZW4gdW5kIGJlcmVpbmlnZW4vRXJ3ZWl0ZXJ0ZSBUYWJlbGxlbnNwYWx0ZTEue0N1cnJlbmN5XzMsMjJ9JnF1b3Q7LCZxdW90O1NlY3Rpb24xL1JvaGRhdGVuIGltcG9ydGllcmVuIHVuZCBiZXJlaW5pZ2VuL0Vyd2VpdGVydGUgVGFiZWxsZW5zcGFsdGUxLntSYWRpb180LDIzfSZxdW90OywmcXVvdDtTZWN0aW9uMS9Sb2hkYXRlbiBpbXBvcnRpZXJlbiB1bmQgYmVyZWluaWdlbi9FcndlaXRlcnRlIFRhYmVsbGVuc3BhbHRlMS57QW4gd2VsY2hlbSBWZXJ0ZWlscHVua3QgbcO2Y2h0ZXN0IGR1IGRlaW4gR2Vtw7xzZSBhYmhvbGVuPywyNX0mcXVvdDssJnF1b3Q7U2VjdGlvbjEvUm9oZGF0ZW4gaW1wb3J0aWVyZW4gdW5kIGJlcmVpbmlnZW4vRXJ3ZWl0ZXJ0ZSBUYWJlbGxlbnNwYWx0ZTEue05hbWUsIFZvcm5hbWUgKEtvbnRvaW5oYWJlcippbiksMjZ9JnF1b3Q7LCZxdW90O1NlY3Rpb24xL1JvaGRhdGVuIGltcG9ydGllcmVuIHVuZCBiZXJlaW5pZ2VuL0Vyd2VpdGVydGUgVGFiZWxsZW5zcGFsdGUxLntTdHJhw59lIHVuZCBIYXVzbnVtbWVyLDI3fSZxdW90OywmcXVvdDtTZWN0aW9uMS9Sb2hkYXRlbiBpbXBvcnRpZXJlbiB1bmQgYmVyZWluaWdlbi9FcndlaXRlcnRlIFRhYmVsbGVuc3BhbHRlMS57UExaIHVuZCBPcnQsMjh9JnF1b3Q7LCZxdW90O1NlY3Rpb24xL1JvaGRhdGVuIGltcG9ydGllcmVuIHVuZCBiZXJlaW5pZ2VuL0Vyd2VpdGVydGUgVGFiZWxsZW5zcGFsdGUxLntLcmVkaXRpbnN0aXR1dCAoTmFtZSwgQklDKSwyOX0mcXVvdDssJnF1b3Q7U2VjdGlvbjEvUm9oZGF0ZW4gaW1wb3J0aWVyZW4gdW5kIGJlcmVpbmlnZW4vRXJ3ZWl0ZXJ0ZSBUYWJlbGxlbnNwYWx0ZTEue0lCQU4sMzB9JnF1b3Q7LCZxdW90O1NlY3Rpb24xL1JvaGRhdGVuIGltcG9ydGllcmVuIHVuZCBiZXJlaW5pZ2VuL0Vyd2VpdGVydGUgVGFiZWxsZW5zcGFsdGUxLntPcnQsIERhdHVtLDMyfSZxdW90OywmcXVvdDtTZWN0aW9uMS9Sb2hkYXRlbiBpbXBvcnRpZXJlbiB1bmQgYmVyZWluaWdlbi9HZcOkbmRlcnRlciBUeXAxLntBbnphaGwgRXJudGVhbnRlaWxlLDMzfSZxdW90O10sJnF1b3Q7Q29sdW1uQ291bnQmcXVvdDs6MjUsJnF1b3Q7S2V5Q29sdW1uTmFtZXMmcXVvdDs6W10sJnF1b3Q7Q29sdW1uSWRlbnRpdGllcyZxdW90OzpbJnF1b3Q7U2VjdGlvbjEvUm9oZGF0ZW4gaW1wb3J0aWVyZW4gdW5kIGJlcmVpbmlnZW4vRXJ3ZWl0ZXJ0ZSBUYWJlbGxlbnNwYWx0ZTEue1N1Ym1pc3Npb24gVGltZSwxfSZxdW90OywmcXVvdDtTZWN0aW9uMS9Sb2hkYXRlbiBpbXBvcnRpZXJlbiB1bmQgYmVyZWluaWdlbi9FcndlaXRlcnRlIFRhYmVsbGVuc3BhbHRlMS57V2FzIGbDvGhydCBkaWNoIGhlcj8sMn0mcXVvdDssJnF1b3Q7U2VjdGlvbjEvUm9oZGF0ZW4gaW1wb3J0aWVyZW4gdW5kIGJlcmVpbmlnZW4vRXJ3ZWl0ZXJ0ZSBUYWJlbGxlbnNwYWx0ZTEue05hbWUgLSBWb3JuYW1lLDN9JnF1b3Q7LCZxdW90O1NlY3Rpb24xL1JvaGRhdGVuIGltcG9ydGllcmVuIHVuZCBiZXJlaW5pZ2VuL0Vyd2VpdGVydGUgVGFiZWxsZW5zcGFsdGUxLntOYW1lIC0gTmFjaG5hbWUsNH0mcXVvdDssJnF1b3Q7U2VjdGlvbjEvUm9oZGF0ZW4gaW1wb3J0aWVyZW4gdW5kIGJlcmVpbmlnZW4vRXJ3ZWl0ZXJ0ZSBUYWJlbGxlbnNwYWx0ZTEue0FkZHJlc3MgLSBTdHJhw59lLCBIYXVzbnVtbWVyLDV9JnF1b3Q7LCZxdW90O1NlY3Rpb24xL1JvaGRhdGVuIGltcG9ydGllcmVuIHVuZCBiZXJlaW5pZ2VuL0Vyd2VpdGVydGUgVGFiZWxsZW5zcGFsdGUxLntBZGRyZXNzIC0gT3J0LDZ9JnF1b3Q7LCZxdW90O1NlY3Rpb24xL1JvaGRhdGVuIGltcG9ydGllcmVuIHVuZCBiZXJlaW5pZ2VuL0Vyd2VpdGVydGUgVGFiZWxsZW5zcGFsdGUxLntBZGRyZXNzIC0gUExaLDd9JnF1b3Q7LCZxdW90O1NlY3Rpb24xL1JvaGRhdGVuIGltcG9ydGllcmVuIHVuZCBiZXJlaW5pZ2VuL0Vyd2VpdGVydGUgVGFiZWxsZW5zcGFsdGUxLntnZ2YuIGluIFZlcnRyZXR1bmcgZGVyIEZpcm1hLDh9JnF1b3Q7LCZxdW90O1NlY3Rpb24xL1JvaGRhdGVuIGltcG9ydGllcmVuIHVuZCBiZXJlaW5pZ2VuL0dlw6RuZGVydGVyIFR5cDEue0dlYnVydHNkYXR1bSw5fSZxdW90OywmcXVvdDtTZWN0aW9uMS9Sb2hkYXRlbiBpbXBvcnRpZXJlbiB1bmQgYmVyZWluaWdlbi9FcndlaXRlcnRlIFRhYmVsbGVuc3BhbHRlMS57VGVsZWZvbiwxMH0mcXVvdDssJnF1b3Q7U2VjdGlvbjEvUm9oZGF0ZW4gaW1wb3J0aWVyZW4gdW5kIGJlcmVpbmlnZW4vRXJ3ZWl0ZXJ0ZSBUYWJlbGxlbnNwYWx0ZTEue0UtTWFpbCwxMX0mcXVvdDssJnF1b3Q7U2VjdGlvbjEvUm9oZGF0ZW4gaW1wb3J0aWVyZW4gdW5kIGJlcmVpbmlnZW4vR2XDpG5kZXJ0ZXIgVHlwMS57QW56YWhsIEFudGVpbGUsMTJ9JnF1b3Q7LCZxdW90O1NlY3Rpb24xL1JvaGRhdGVuIGltcG9ydGllcmVuIHVuZCBiZXJlaW5pZ2VuL0Vyd2VpdGVydGUgVGFiZWxsZW5zcGFsdGUxLntSYXRlbnphaGx1bmcsMTR9JnF1b3Q7LCZxdW90O1NlY3Rpb24xL1JvaGRhdGVuIGltcG9ydGllcmVuIHVuZCBiZXJlaW5pZ2VuL0Vyd2VpdGVydGUgVGFiZWxsZW5zcGFsdGUxLntSYWRpbywxNX0mcXVvdDssJnF1b3Q7U2VjdGlvbjEvUm9oZGF0ZW4gaW1wb3J0aWVyZW4gdW5kIGJlcmVpbmlnZW4vRXJ3ZWl0ZXJ0ZSBUYWJlbGxlbnNwYWx0ZTEue0N1cnJlbmN5LDIxfSZxdW90OywmcXVvdDtTZWN0aW9uMS9Sb2hkYXRlbiBpbXBvcnRpZXJlbiB1bmQgYmVyZWluaWdlbi9FcndlaXRlcnRlIFRhYmVsbGVuc3BhbHRlMS57Q3VycmVuY3lfMywyMn0mcXVvdDssJnF1b3Q7U2VjdGlvbjEvUm9oZGF0ZW4gaW1wb3J0aWVyZW4gdW5kIGJlcmVpbmlnZW4vRXJ3ZWl0ZXJ0ZSBUYWJlbGxlbnNwYWx0ZTEue1JhZGlvXzQsMjN9JnF1b3Q7LCZxdW90O1NlY3Rpb24xL1JvaGRhdGVuIGltcG9ydGllcmVuIHVuZCBiZXJlaW5pZ2VuL0Vyd2VpdGVydGUgVGFiZWxsZW5zcGFsdGUxLntBbiB3ZWxjaGVtIFZlcnRlaWxwdW5rdCBtw7ZjaHRlc3QgZHUgZGVpbiBHZW3DvHNlIGFiaG9sZW4/LDI1fSZxdW90OywmcXVvdDtTZWN0aW9uMS9Sb2hkYXRlbiBpbXBvcnRpZXJlbiB1bmQgYmVyZWluaWdlbi9FcndlaXRlcnRlIFRhYmVsbGVuc3BhbHRlMS57TmFtZSwgVm9ybmFtZSAoS29udG9pbmhhYmVyKmluKSwyNn0mcXVvdDssJnF1b3Q7U2VjdGlvbjEvUm9oZGF0ZW4gaW1wb3J0aWVyZW4gdW5kIGJlcmVpbmlnZW4vRXJ3ZWl0ZXJ0ZSBUYWJlbGxlbnNwYWx0ZTEue1N0cmHDn2UgdW5kIEhhdXNudW1tZXIsMjd9JnF1b3Q7LCZxdW90O1NlY3Rpb24xL1JvaGRhdGVuIGltcG9ydGllcmVuIHVuZCBiZXJlaW5pZ2VuL0Vyd2VpdGVydGUgVGFiZWxsZW5zcGFsdGUxLntQTFogdW5kIE9ydCwyOH0mcXVvdDssJnF1b3Q7U2VjdGlvbjEvUm9oZGF0ZW4gaW1wb3J0aWVyZW4gdW5kIGJlcmVpbmlnZW4vRXJ3ZWl0ZXJ0ZSBUYWJlbGxlbnNwYWx0ZTEue0tyZWRpdGluc3RpdHV0IChOYW1lLCBCSUMpLDI5fSZxdW90OywmcXVvdDtTZWN0aW9uMS9Sb2hkYXRlbiBpbXBvcnRpZXJlbiB1bmQgYmVyZWluaWdlbi9FcndlaXRlcnRlIFRhYmVsbGVuc3BhbHRlMS57SUJBTiwzMH0mcXVvdDssJnF1b3Q7U2VjdGlvbjEvUm9oZGF0ZW4gaW1wb3J0aWVyZW4gdW5kIGJlcmVpbmlnZW4vRXJ3ZWl0ZXJ0ZSBUYWJlbGxlbnNwYWx0ZTEue09ydCwgRGF0dW0sMzJ9JnF1b3Q7LCZxdW90O1NlY3Rpb24xL1JvaGRhdGVuIGltcG9ydGllcmVuIHVuZCBiZXJlaW5pZ2VuL0dlw6RuZGVydGVyIFR5cDEue0FuemFobCBFcm50ZWFudGVpbGUsMzN9JnF1b3Q7XSwmcXVvdDtSZWxhdGlvbnNoaXBJbmZvJnF1b3Q7OltdfSIgLz48L1N0YWJsZUVudHJpZXM+PC9JdGVtPjxJdGVtPjxJdGVtTG9jYXRpb24+PEl0ZW1UeXBlPkZvcm11bGE8L0l0ZW1UeXBlPjxJdGVtUGF0aD5TZWN0aW9uMS9Sb2hkYXRlbiUyMGltcG9ydGllcmVuJTIwdW5kJTIwYmVyZWluaWdlbi9RdWVsbGU8L0l0ZW1QYXRoPjwvSXRlbUxvY2F0aW9uPjxTdGFibGVFbnRyaWVzIC8+PC9JdGVtPjxJdGVtPjxJdGVtTG9jYXRpb24+PEl0ZW1UeXBlPkZvcm11bGE8L0l0ZW1UeXBlPjxJdGVtUGF0aD5TZWN0aW9uMS9Sb2hkYXRlbiUyMGltcG9ydGllcmVuJTIwdW5kJTIwYmVyZWluaWdlbi9HZWZpbHRlcnRlJTIwYXVzZ2VibGVuZGV0ZSUyMERhdGVpZW4xPC9JdGVtUGF0aD48L0l0ZW1Mb2NhdGlvbj48U3RhYmxlRW50cmllcyAvPjwvSXRlbT48SXRlbT48SXRlbUxvY2F0aW9uPjxJdGVtVHlwZT5Gb3JtdWxhPC9JdGVtVHlwZT48SXRlbVBhdGg+U2VjdGlvbjEvUm9oZGF0ZW4lMjBpbXBvcnRpZXJlbiUyMHVuZCUyMGJlcmVpbmlnZW4vQmVudXR6ZXJkZWZpbmllcnRlJTIwRnVua3Rpb24lMjBhdWZydWZlbjE8L0l0ZW1QYXRoPjwvSXRlbUxvY2F0aW9uPjxTdGFibGVFbnRyaWVzIC8+PC9JdGVtPjxJdGVtPjxJdGVtTG9jYXRpb24+PEl0ZW1UeXBlPkZvcm11bGE8L0l0ZW1UeXBlPjxJdGVtUGF0aD5TZWN0aW9uMS9Sb2hkYXRlbiUyMGltcG9ydGllcmVuJTIwdW5kJTIwYmVyZWluaWdlbi9VbWJlbmFubnRlJTIwU3BhbHRlbjE8L0l0ZW1QYXRoPjwvSXRlbUxvY2F0aW9uPjxTdGFibGVFbnRyaWVzIC8+PC9JdGVtPjxJdGVtPjxJdGVtTG9jYXRpb24+PEl0ZW1UeXBlPkZvcm11bGE8L0l0ZW1UeXBlPjxJdGVtUGF0aD5TZWN0aW9uMS9Sb2hkYXRlbiUyMGltcG9ydGllcmVuJTIwdW5kJTIwYmVyZWluaWdlbi9BbmRlcmUlMjBlbnRmZXJudGUlMjBTcGFsdGVuMTwvSXRlbVBhdGg+PC9JdGVtTG9jYXRpb24+PFN0YWJsZUVudHJpZXMgLz48L0l0ZW0+PEl0ZW0+PEl0ZW1Mb2NhdGlvbj48SXRlbVR5cGU+Rm9ybXVsYTwvSXRlbVR5cGU+PEl0ZW1QYXRoPlNlY3Rpb24xL0ltcG9ydCUyMEJlaXRyaXR0ZSUyME5FVT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0V4Y2VwdGlvbiIgLz48RW50cnkgVHlwZT0iTmFtZVVwZGF0ZWRBZnRlckZpbGwiIFZhbHVlPSJsMCIgLz48RW50cnkgVHlwZT0iTmF2aWdhdGlvblN0ZXBOYW1lIiBWYWx1ZT0ic05hdmlnYXRpb24iIC8+PEVudHJ5IFR5cGU9IkZpbGxUYXJnZXQiIFZhbHVlPSJzSW1wb3J0X0JlaXRyaXR0ZV9ORVUiIC8+PEVudHJ5IFR5cGU9IkZpbGxlZENvbXBsZXRlUmVzdWx0VG9Xb3Jrc2hlZXQiIFZhbHVlPSJsMSIgLz48RW50cnkgVHlwZT0iUXVlcnlJRCIgVmFsdWU9InM4MjYyYWUzZS01MDA0LTRmNWItYTIwOS1hNDM5NzYyMjBmMmUiIC8+PEVudHJ5IFR5cGU9IkZpbGxMYXN0VXBkYXRlZCIgVmFsdWU9ImQyMDI1LTA4LTEwVDA4OjEwOjU3LjE0NDc2MDlaIiAvPjxFbnRyeSBUeXBlPSJGaWxsRXJyb3JDb3VudCIgVmFsdWU9ImwwIiAvPjxFbnRyeSBUeXBlPSJGaWxsRXJyb3JDb2RlIiBWYWx1ZT0ic1Vua25vd24iIC8+PEVudHJ5IFR5cGU9IkZpbGxDb2x1bW5UeXBlcyIgVmFsdWU9InNBQUFBQUFBQUFBQUdBQWtBQ1FBSkFBQUpCZ0E9IiAvPjxFbnRyeSBUeXBlPSJGaWxsQ291bnQiIFZhbHVlPSJsMCIgLz48RW50cnkgVHlwZT0iRmlsbENvbHVtbk5hbWVzIiBWYWx1ZT0ic1smcXVvdDtSYXRlbnphaGx1bmcmcXVvdDssJnF1b3Q7UmFkaW8mcXVvdDssJnF1b3Q7TmFtZSAtIE5hY2huYW1lJnF1b3Q7LCZxdW90O05hbWUgLSBWb3JuYW1lJnF1b3Q7LCZxdW90O2dnZi4gaW4gVmVydHJldHVuZyBkZXIgRmlybWEmcXVvdDssJnF1b3Q7QWRkcmVzcyAtIFN0cmHDn2UsIEhhdXNudW1tZXImcXVvdDssJnF1b3Q7QWRkcmVzcyAtIFBMWiZxdW90OywmcXVvdDtBZGRyZXNzIC0gT3J0JnF1b3Q7LCZxdW90O0UtTWFpbCZxdW90OywmcXVvdDtUZWxlZm9uJnF1b3Q7LCZxdW90O0dlYnVydHNkYXR1bSZxdW90OywmcXVvdDttL2YmcXVvdDssJnF1b3Q7RWludHJpdHRzZGF0dW0mcXVvdDssJnF1b3Q7enVzw6R0emxpY2hlIEFudGVpbGUmcXVvdDssJnF1b3Q7VGFnIGRlciBadWxhc3N1bmcmcXVvdDssJnF1b3Q7VGFnIGQuIEF1c3NjaGVpZGVucyZxdW90OywmcXVvdDtHcnVuZCZxdW90OywmcXVvdDtUYWcgZC4gRWludHJhZ3VuZyZxdW90OywmcXVvdDtJQkFOJnF1b3Q7LCZxdW90O05hbWUsIFZvcm5hbWUgKEtvbnRvaW5oYWJlcippbikmcXVvdDtdIiAvPjxFbnRyeSBUeXBlPSJBZGRlZFRvRGF0YU1vZGVsIiBWYWx1ZT0ibDAiIC8+PEVudHJ5IFR5cGU9IkZpbGxTdGF0dXMiIFZhbHVlPSJzV2FpdGluZ0ZvckV4Y2VsUmVmcmVzaCIgLz48RW50cnkgVHlwZT0iUmVsYXRpb25zaGlwSW5mb0NvbnRhaW5lciIgVmFsdWU9InN7JnF1b3Q7Y29sdW1uQ291bnQmcXVvdDs6MjAsJnF1b3Q7a2V5Q29sdW1uTmFtZXMmcXVvdDs6W10sJnF1b3Q7cXVlcnlSZWxhdGlvbnNoaXBzJnF1b3Q7Olt7JnF1b3Q7a2V5Q29sdW1uQ291bnQmcXVvdDs6MSwmcXVvdDtrZXlDb2x1bW4mcXVvdDs6OCwmcXVvdDtvdGhlcktleUNvbHVtbklkZW50aXR5JnF1b3Q7OiZxdW90O1NlY3Rpb24xL01pdGdsaWVkZXJsaXN0ZS9RdWVsbGUue0UtTWFpbCw3fSZxdW90OywmcXVvdDtLZXlDb2x1bW5Db3VudCZxdW90OzoxfV0sJnF1b3Q7Y29sdW1uSWRlbnRpdGllcyZxdW90OzpbJnF1b3Q7U2VjdGlvbjEvUm9oZGF0ZW4gaW1wb3J0aWVyZW4gdW5kIGJlcmVpbmlnZW4vRXJ3ZWl0ZXJ0ZSBUYWJlbGxlbnNwYWx0ZTEue1JhdGVuemFobHVuZywxNH0mcXVvdDssJnF1b3Q7U2VjdGlvbjEvUm9oZGF0ZW4gaW1wb3J0aWVyZW4gdW5kIGJlcmVpbmlnZW4vRXJ3ZWl0ZXJ0ZSBUYWJlbGxlbnNwYWx0ZTEue1JhZGlvLDE1fSZxdW90OywmcXVvdDtTZWN0aW9uMS9Sb2hkYXRlbiBpbXBvcnRpZXJlbiB1bmQgYmVyZWluaWdlbi9FcndlaXRlcnRlIFRhYmVsbGVuc3BhbHRlMS57TmFtZSAtIE5hY2huYW1lLDR9JnF1b3Q7LCZxdW90O1NlY3Rpb24xL1JvaGRhdGVuIGltcG9ydGllcmVuIHVuZCBiZXJlaW5pZ2VuL0Vyd2VpdGVydGUgVGFiZWxsZW5zcGFsdGUxLntOYW1lIC0gVm9ybmFtZSwzfSZxdW90OywmcXVvdDtTZWN0aW9uMS9Sb2hkYXRlbiBpbXBvcnRpZXJlbiB1bmQgYmVyZWluaWdlbi9FcndlaXRlcnRlIFRhYmVsbGVuc3BhbHRlMS57Z2dmLiBpbiBWZXJ0cmV0dW5nIGRlciBGaXJtYSw4fSZxdW90OywmcXVvdDtTZWN0aW9uMS9Sb2hkYXRlbiBpbXBvcnRpZXJlbiB1bmQgYmVyZWluaWdlbi9FcndlaXRlcnRlIFRhYmVsbGVuc3BhbHRlMS57QWRkcmVzcyAtIFN0cmHDn2UsIEhhdXNudW1tZXIsNX0mcXVvdDssJnF1b3Q7U2VjdGlvbjEvUm9oZGF0ZW4gaW1wb3J0aWVyZW4gdW5kIGJlcmVpbmlnZW4vRXJ3ZWl0ZXJ0ZSBUYWJlbGxlbnNwYWx0ZTEue0FkZHJlc3MgLSBQTFosN30mcXVvdDssJnF1b3Q7U2VjdGlvbjEvUm9oZGF0ZW4gaW1wb3J0aWVyZW4gdW5kIGJlcmVpbmlnZW4vRXJ3ZWl0ZXJ0ZSBUYWJlbGxlbnNwYWx0ZTEue0FkZHJlc3MgLSBPcnQsNn0mcXVvdDssJnF1b3Q7U2VjdGlvbjEvUm9oZGF0ZW4gaW1wb3J0aWVyZW4gdW5kIGJlcmVpbmlnZW4vVGV4dCBpbiBLbGVpbmJ1Y2hzdGFiZW4ue0UtTWFpbCwxMH0mcXVvdDssJnF1b3Q7U2VjdGlvbjEvUm9oZGF0ZW4gaW1wb3J0aWVyZW4gdW5kIGJlcmVpbmlnZW4vRXJ3ZWl0ZXJ0ZSBUYWJlbGxlbnNwYWx0ZTEue1RlbGVmb24sMTB9JnF1b3Q7LCZxdW90O1NlY3Rpb24xL1JvaGRhdGVuIGltcG9ydGllcmVuIHVuZCBiZXJlaW5pZ2VuL0dlw6RuZGVydGVyIFR5cDEue0dlYnVydHNkYXR1bSw4fSZxdW90OywmcXVvdDtTZWN0aW9uMS9JbXBvcnQgQmVpdHJpdHRlIE5FVS9IaW56dWdlZsO8Z3RlIGJlbnV0emVyZGVmaW5pZXJ0ZSBTcGFsdGUue20vZiwxNH0mcXVvdDssJnF1b3Q7U2VjdGlvbjEvSW1wb3J0IEJlaXRyaXR0ZSBORVUvSGluenVnZWbDvGd0ZSBiZW51dHplcmRlZmluaWVydGUgU3BhbHRlMS57RWludHJpdHRzZGF0dW0sMTZ9JnF1b3Q7LCZxdW90O1NlY3Rpb24xL0ltcG9ydCBCZWl0cml0dGUgTkVVL0hpbnp1Z2Vmw7xndGUgYmVudXR6ZXJkZWZpbmllcnRlIFNwYWx0ZTIue3p1c8OkdHpsaWNoZSBBbnRlaWxlLDI3fSZxdW90OywmcXVvdDtTZWN0aW9uMS9JbXBvcnQgQmVpdHJpdHRlIE5FVS9IaW56dWdlZsO8Z3RlIGJlbnV0emVyZGVmaW5pZXJ0ZSBTcGFsdGUzLntUYWcgZGVyIFp1bGFzc3VuZywxNX0mcXVvdDssJnF1b3Q7U2VjdGlvbjEvSW1wb3J0IEJlaXRyaXR0ZSBORVUvSGluenVnZWbDvGd0ZSBiZW51dHplcmRlZmluaWVydGUgU3BhbHRlNC57VGFnIGQuIEF1c3NjaGVpZGVucywxN30mcXVvdDssJnF1b3Q7U2VjdGlvbjEvSW1wb3J0IEJlaXRyaXR0ZSBORVUvSGluenVnZWbDvGd0ZSBiZW51dHplcmRlZmluaWVydGUgU3BhbHRlNS57R3J1bmQsMTh9JnF1b3Q7LCZxdW90O1NlY3Rpb24xL0ltcG9ydCBCZWl0cml0dGUgTkVVL0hpbnp1Z2Vmw7xndGUgYmVudXR6ZXJkZWZpbmllcnRlIFNwYWx0ZTYue1RhZyBkLiBFaW50cmFndW5nLDE5fSZxdW90OywmcXVvdDtTZWN0aW9uMS9Sb2hkYXRlbiBpbXBvcnRpZXJlbiB1bmQgYmVyZWluaWdlbi9UZXh0IGluIEdyb8OfYnVjaHN0YWJlbi57SUJBTiwyMn0mcXVvdDssJnF1b3Q7U2VjdGlvbjEvUm9oZGF0ZW4gaW1wb3J0aWVyZW4gdW5kIGJlcmVpbmlnZW4vRXJ3ZWl0ZXJ0ZSBUYWJlbGxlbnNwYWx0ZTEue05hbWUsIFZvcm5hbWUgKEtvbnRvaW5oYWJlcippbiksMjZ9JnF1b3Q7XSwmcXVvdDtDb2x1bW5Db3VudCZxdW90OzoyMCwmcXVvdDtLZXlDb2x1bW5OYW1lcyZxdW90OzpbXSwmcXVvdDtDb2x1bW5JZGVudGl0aWVzJnF1b3Q7OlsmcXVvdDtTZWN0aW9uMS9Sb2hkYXRlbiBpbXBvcnRpZXJlbiB1bmQgYmVyZWluaWdlbi9FcndlaXRlcnRlIFRhYmVsbGVuc3BhbHRlMS57UmF0ZW56YWhsdW5nLDE0fSZxdW90OywmcXVvdDtTZWN0aW9uMS9Sb2hkYXRlbiBpbXBvcnRpZXJlbiB1bmQgYmVyZWluaWdlbi9FcndlaXRlcnRlIFRhYmVsbGVuc3BhbHRlMS57UmFkaW8sMTV9JnF1b3Q7LCZxdW90O1NlY3Rpb24xL1JvaGRhdGVuIGltcG9ydGllcmVuIHVuZCBiZXJlaW5pZ2VuL0Vyd2VpdGVydGUgVGFiZWxsZW5zcGFsdGUxLntOYW1lIC0gTmFjaG5hbWUsNH0mcXVvdDssJnF1b3Q7U2VjdGlvbjEvUm9oZGF0ZW4gaW1wb3J0aWVyZW4gdW5kIGJlcmVpbmlnZW4vRXJ3ZWl0ZXJ0ZSBUYWJlbGxlbnNwYWx0ZTEue05hbWUgLSBWb3JuYW1lLDN9JnF1b3Q7LCZxdW90O1NlY3Rpb24xL1JvaGRhdGVuIGltcG9ydGllcmVuIHVuZCBiZXJlaW5pZ2VuL0Vyd2VpdGVydGUgVGFiZWxsZW5zcGFsdGUxLntnZ2YuIGluIFZlcnRyZXR1bmcgZGVyIEZpcm1hLDh9JnF1b3Q7LCZxdW90O1NlY3Rpb24xL1JvaGRhdGVuIGltcG9ydGllcmVuIHVuZCBiZXJlaW5pZ2VuL0Vyd2VpdGVydGUgVGFiZWxsZW5zcGFsdGUxLntBZGRyZXNzIC0gU3RyYcOfZSwgSGF1c251bW1lciw1fSZxdW90OywmcXVvdDtTZWN0aW9uMS9Sb2hkYXRlbiBpbXBvcnRpZXJlbiB1bmQgYmVyZWluaWdlbi9FcndlaXRlcnRlIFRhYmVsbGVuc3BhbHRlMS57QWRkcmVzcyAtIFBMWiw3fSZxdW90OywmcXVvdDtTZWN0aW9uMS9Sb2hkYXRlbiBpbXBvcnRpZXJlbiB1bmQgYmVyZWluaWdlbi9FcndlaXRlcnRlIFRhYmVsbGVuc3BhbHRlMS57QWRkcmVzcyAtIE9ydCw2fSZxdW90OywmcXVvdDtTZWN0aW9uMS9Sb2hkYXRlbiBpbXBvcnRpZXJlbiB1bmQgYmVyZWluaWdlbi9UZXh0IGluIEtsZWluYnVjaHN0YWJlbi57RS1NYWlsLDEwfSZxdW90OywmcXVvdDtTZWN0aW9uMS9Sb2hkYXRlbiBpbXBvcnRpZXJlbiB1bmQgYmVyZWluaWdlbi9FcndlaXRlcnRlIFRhYmVsbGVuc3BhbHRlMS57VGVsZWZvbiwxMH0mcXVvdDssJnF1b3Q7U2VjdGlvbjEvUm9oZGF0ZW4gaW1wb3J0aWVyZW4gdW5kIGJlcmVpbmlnZW4vR2XDpG5kZXJ0ZXIgVHlwMS57R2VidXJ0c2RhdHVtLDh9JnF1b3Q7LCZxdW90O1NlY3Rpb24xL0ltcG9ydCBCZWl0cml0dGUgTkVVL0hpbnp1Z2Vmw7xndGUgYmVudXR6ZXJkZWZpbmllcnRlIFNwYWx0ZS57bS9mLDE0fSZxdW90OywmcXVvdDtTZWN0aW9uMS9JbXBvcnQgQmVpdHJpdHRlIE5FVS9IaW56dWdlZsO8Z3RlIGJlbnV0emVyZGVmaW5pZXJ0ZSBTcGFsdGUxLntFaW50cml0dHNkYXR1bSwxNn0mcXVvdDssJnF1b3Q7U2VjdGlvbjEvSW1wb3J0IEJlaXRyaXR0ZSBORVUvSGluenVnZWbDvGd0ZSBiZW51dHplcmRlZmluaWVydGUgU3BhbHRlMi57enVzw6R0emxpY2hlIEFudGVpbGUsMjd9JnF1b3Q7LCZxdW90O1NlY3Rpb24xL0ltcG9ydCBCZWl0cml0dGUgTkVVL0hpbnp1Z2Vmw7xndGUgYmVudXR6ZXJkZWZpbmllcnRlIFNwYWx0ZTMue1RhZyBkZXIgWnVsYXNzdW5nLDE1fSZxdW90OywmcXVvdDtTZWN0aW9uMS9JbXBvcnQgQmVpdHJpdHRlIE5FVS9IaW56dWdlZsO8Z3RlIGJlbnV0emVyZGVmaW5pZXJ0ZSBTcGFsdGU0LntUYWcgZC4gQXVzc2NoZWlkZW5zLDE3fSZxdW90OywmcXVvdDtTZWN0aW9uMS9JbXBvcnQgQmVpdHJpdHRlIE5FVS9IaW56dWdlZsO8Z3RlIGJlbnV0emVyZGVmaW5pZXJ0ZSBTcGFsdGU1LntHcnVuZCwxOH0mcXVvdDssJnF1b3Q7U2VjdGlvbjEvSW1wb3J0IEJlaXRyaXR0ZSBORVUvSGluenVnZWbDvGd0ZSBiZW51dHplcmRlZmluaWVydGUgU3BhbHRlNi57VGFnIGQuIEVpbnRyYWd1bmcsMTl9JnF1b3Q7LCZxdW90O1NlY3Rpb24xL1JvaGRhdGVuIGltcG9ydGllcmVuIHVuZCBiZXJlaW5pZ2VuL1RleHQgaW4gR3Jvw59idWNoc3RhYmVuLntJQkFOLDIyfSZxdW90OywmcXVvdDtTZWN0aW9uMS9Sb2hkYXRlbiBpbXBvcnRpZXJlbiB1bmQgYmVyZWluaWdlbi9FcndlaXRlcnRlIFRhYmVsbGVuc3BhbHRlMS57TmFtZSwgVm9ybmFtZSAoS29udG9pbmhhYmVyKmluKSwyNn0mcXVvdDtdLCZxdW90O1JlbGF0aW9uc2hpcEluZm8mcXVvdDs6W3smcXVvdDtrZXlDb2x1bW5Db3VudCZxdW90OzoxLCZxdW90O2tleUNvbHVtbiZxdW90Ozo4LCZxdW90O290aGVyS2V5Q29sdW1uSWRlbnRpdHkmcXVvdDs6JnF1b3Q7U2VjdGlvbjEvTWl0Z2xpZWRlcmxpc3RlL1F1ZWxsZS57RS1NYWlsLDd9JnF1b3Q7LCZxdW90O0tleUNvbHVtbkNvdW50JnF1b3Q7OjF9XX0iIC8+PC9TdGFibGVFbnRyaWVzPjwvSXRlbT48SXRlbT48SXRlbUxvY2F0aW9uPjxJdGVtVHlwZT5Gb3JtdWxhPC9JdGVtVHlwZT48SXRlbVBhdGg+U2VjdGlvbjEvSW1wb3J0JTIwQmVpdHJpdHRlJTIwTkVVL1F1ZWxsZTwvSXRlbVBhdGg+PC9JdGVtTG9jYXRpb24+PFN0YWJsZUVudHJpZXMgLz48L0l0ZW0+PEl0ZW0+PEl0ZW1Mb2NhdGlvbj48SXRlbVR5cGU+Rm9ybXVsYTwvSXRlbVR5cGU+PEl0ZW1QYXRoPlNlY3Rpb24xL0ltcG9ydCUyMEJlaXRyaXR0ZSUyME5FVS9FbnRmZXJudGUlMjBTcGFsdGVuPC9JdGVtUGF0aD48L0l0ZW1Mb2NhdGlvbj48U3RhYmxlRW50cmllcyAvPjwvSXRlbT48SXRlbT48SXRlbUxvY2F0aW9uPjxJdGVtVHlwZT5Gb3JtdWxhPC9JdGVtVHlwZT48SXRlbVBhdGg+U2VjdGlvbjEvSW1wb3J0JTIwQmVpdHJpdHRlJTIwTkVVL0dlZmlsdGVydGUlMjBaZWlsZW48L0l0ZW1QYXRoPjwvSXRlbUxvY2F0aW9uPjxTdGFibGVFbnRyaWVzIC8+PC9JdGVtPjxJdGVtPjxJdGVtTG9jYXRpb24+PEl0ZW1UeXBlPkZvcm11bGE8L0l0ZW1UeXBlPjxJdGVtUGF0aD5TZWN0aW9uMS9JbXBvcnQlMjBCZWl0cml0dGUlMjBORVUvSGluenVnZWYlQzMlQkNndGUlMjBiZW51dHplcmRlZmluaWVydGUlMjBTcGFsdGU8L0l0ZW1QYXRoPjwvSXRlbUxvY2F0aW9uPjxTdGFibGVFbnRyaWVzIC8+PC9JdGVtPjxJdGVtPjxJdGVtTG9jYXRpb24+PEl0ZW1UeXBlPkZvcm11bGE8L0l0ZW1UeXBlPjxJdGVtUGF0aD5TZWN0aW9uMS9JbXBvcnQlMjBCZWl0cml0dGUlMjBORVUvSGluenVnZWYlQzMlQkNndGUlMjBiZW51dHplcmRlZmluaWVydGUlMjBTcGFsdGUxPC9JdGVtUGF0aD48L0l0ZW1Mb2NhdGlvbj48U3RhYmxlRW50cmllcyAvPjwvSXRlbT48SXRlbT48SXRlbUxvY2F0aW9uPjxJdGVtVHlwZT5Gb3JtdWxhPC9JdGVtVHlwZT48SXRlbVBhdGg+U2VjdGlvbjEvSW1wb3J0JTIwQmVpdHJpdHRlJTIwTkVVL0hpbnp1Z2VmJUMzJUJDZ3RlJTIwYmVudXR6ZXJkZWZpbmllcnRlJTIwU3BhbHRlMjwvSXRlbVBhdGg+PC9JdGVtTG9jYXRpb24+PFN0YWJsZUVudHJpZXMgLz48L0l0ZW0+PEl0ZW0+PEl0ZW1Mb2NhdGlvbj48SXRlbVR5cGU+Rm9ybXVsYTwvSXRlbVR5cGU+PEl0ZW1QYXRoPlNlY3Rpb24xL0ltcG9ydCUyMEJlaXRyaXR0ZSUyME5FVS9IaW56dWdlZiVDMyVCQ2d0ZSUyMGJlbnV0emVyZGVmaW5pZXJ0ZSUyMFNwYWx0ZTM8L0l0ZW1QYXRoPjwvSXRlbUxvY2F0aW9uPjxTdGFibGVFbnRyaWVzIC8+PC9JdGVtPjxJdGVtPjxJdGVtTG9jYXRpb24+PEl0ZW1UeXBlPkZvcm11bGE8L0l0ZW1UeXBlPjxJdGVtUGF0aD5TZWN0aW9uMS9JbXBvcnQlMjBCZWl0cml0dGUlMjBORVUvSGluenVnZWYlQzMlQkNndGUlMjBiZW51dHplcmRlZmluaWVydGUlMjBTcGFsdGU0PC9JdGVtUGF0aD48L0l0ZW1Mb2NhdGlvbj48U3RhYmxlRW50cmllcyAvPjwvSXRlbT48SXRlbT48SXRlbUxvY2F0aW9uPjxJdGVtVHlwZT5Gb3JtdWxhPC9JdGVtVHlwZT48SXRlbVBhdGg+U2VjdGlvbjEvSW1wb3J0JTIwQmVpdHJpdHRlJTIwTkVVL0hpbnp1Z2VmJUMzJUJDZ3RlJTIwYmVudXR6ZXJkZWZpbmllcnRlJTIwU3BhbHRlNTwvSXRlbVBhdGg+PC9JdGVtTG9jYXRpb24+PFN0YWJsZUVudHJpZXMgLz48L0l0ZW0+PEl0ZW0+PEl0ZW1Mb2NhdGlvbj48SXRlbVR5cGU+Rm9ybXVsYTwvSXRlbVR5cGU+PEl0ZW1QYXRoPlNlY3Rpb24xL0ltcG9ydCUyMEJlaXRyaXR0ZSUyME5FVS9IaW56dWdlZiVDMyVCQ2d0ZSUyMGJlbnV0emVyZGVmaW5pZXJ0ZSUyMFNwYWx0ZTY8L0l0ZW1QYXRoPjwvSXRlbUxvY2F0aW9uPjxTdGFibGVFbnRyaWVzIC8+PC9JdGVtPjxJdGVtPjxJdGVtTG9jYXRpb24+PEl0ZW1UeXBlPkZvcm11bGE8L0l0ZW1UeXBlPjxJdGVtUGF0aD5TZWN0aW9uMS9JbXBvcnQlMjBCZWl0cml0dGUlMjBORVUvTmV1JTIwYW5nZW9yZG5ldGUlMjBTcGFsdGVuPC9JdGVtUGF0aD48L0l0ZW1Mb2NhdGlvbj48U3RhYmxlRW50cmllcyAvPjwvSXRlbT48SXRlbT48SXRlbUxvY2F0aW9uPjxJdGVtVHlwZT5Gb3JtdWxhPC9JdGVtVHlwZT48SXRlbVBhdGg+U2VjdGlvbjEvSW1wb3J0JTIwRXJudGV2ZXJ0ciVDMyVBNGdlJTIwTkVVPC9JdGVtUGF0aD48L0l0ZW1Mb2NhdGlvbj48U3RhYmxlRW50cmllcz48RW50cnkgVHlwZT0iSXNQcml2YXRlIiBWYWx1ZT0ibDAiIC8+PEVudHJ5IFR5cGU9IkZpbGxFbmFibGVkIiBWYWx1ZT0ibDEiIC8+PEVudHJ5IFR5cGU9Ik5hdmlnYXRpb25TdGVwTmFtZSIgVmFsdWU9InNOYXZpZ2F0aW9uIiAvPjxFbnRyeSBUeXBlPSJOYW1lVXBkYXRlZEFmdGVyRmlsbCIgVmFsdWU9ImwwIiAvPjxFbnRyeSBUeXBlPSJSZXN1bHRUeXBlIiBWYWx1ZT0ic0V4Y2VwdGlvbiIgLz48RW50cnkgVHlwZT0iQnVmZmVyTmV4dFJlZnJlc2giIFZhbHVlPSJsMSIgLz48RW50cnkgVHlwZT0iRmlsbFRhcmdldCIgVmFsdWU9InNJbXBvcnRfRXJudGV2ZXJ0csOkZ2VfTkVVIiAvPjxFbnRyeSBUeXBlPSJGaWxsZWRDb21wbGV0ZVJlc3VsdFRvV29ya3NoZWV0IiBWYWx1ZT0ibDEiIC8+PEVudHJ5IFR5cGU9IlF1ZXJ5SUQiIFZhbHVlPSJzYThmMjUyZmEtYzdiOS00ZWU2LWJkZDktMjE0OGQ1ZTQwMDQ4IiAvPjxFbnRyeSBUeXBlPSJGaWxsVG9EYXRhTW9kZWxFbmFibGVkIiBWYWx1ZT0ibDAiIC8+PEVudHJ5IFR5cGU9IkZpbGxPYmplY3RUeXBlIiBWYWx1ZT0ic1RhYmxlIiAvPjxFbnRyeSBUeXBlPSJGaWxsTGFzdFVwZGF0ZWQiIFZhbHVlPSJkMjAyNS0wOC0xMFQwODoxMDo1Ny40MDkzMzE3WiIgLz48RW50cnkgVHlwZT0iRmlsbEVycm9yQ291bnQiIFZhbHVlPSJsMCIgLz48RW50cnkgVHlwZT0iRmlsbEVycm9yQ29kZSIgVmFsdWU9InNVbmtub3duIiAvPjxFbnRyeSBUeXBlPSJGaWxsQ29sdW1uVHlwZXMiIFZhbHVlPSJzQUFBQUJnVUZCUVVBQUFBQUFBQUEiIC8+PEVudHJ5IFR5cGU9IkZpbGxDb3VudCIgVmFsdWU9ImwwIiAvPjxFbnRyeSBUeXBlPSJGaWxsQ29sdW1uTmFtZXMiIFZhbHVlPSJzWyZxdW90O01pdGdsaWVkZXJsaXN0ZS5NaXRnbGllZHMtTnIuJnF1b3Q7LCZxdW90O05hbWUgLSBOYWNobmFtZSZxdW90OywmcXVvdDtOYW1lIC0gVm9ybmFtZSZxdW90OywmcXVvdDtFLU1haWwmcXVvdDssJnF1b3Q7QW56YWhsIEVybnRlYW50ZWlsZV81JnF1b3Q7LCZxdW90O0FuemFobCBrbGVpbmUgRXJudGVhbnRlaWxlJnF1b3Q7LCZxdW90O051bWJlciZxdW90OywmcXVvdDtOdW1iZXJfMiZxdW90OywmcXVvdDtSYWRpb18zJnF1b3Q7LCZxdW90O01pdGdsaWVkZXJsaXN0ZS5PcnQmcXVvdDssJnF1b3Q7TWl0Z2xpZWRlcmxpc3RlLklCQU4mcXVvdDssJnF1b3Q7TWl0Z2xpZWRlcmxpc3RlLk5hbWUgS29udG9pbmhhYmVyaW4mcXVvdDssJnF1b3Q7TWl0Z2xpZWRlcmxpc3RlLkRhdHVtIE1hbmRhdHN1bnRlcnNjaHJpZnQmcXVvdDssJnF1b3Q7WmVpdCBkZXIgRWludHJhZ3VuZyZxdW90OywmcXVvdDtBYmhvbHB1bmt0JnF1b3Q7XSIgLz48RW50cnkgVHlwZT0iQWRkZWRUb0RhdGFNb2RlbCIgVmFsdWU9ImwwIiAvPjxFbnRyeSBUeXBlPSJGaWxsU3RhdHVzIiBWYWx1ZT0ic1dhaXRpbmdGb3JFeGNlbFJlZnJlc2giIC8+PEVudHJ5IFR5cGU9IlJlbGF0aW9uc2hpcEluZm9Db250YWluZXIiIFZhbHVlPSJzeyZxdW90O2NvbHVtbkNvdW50JnF1b3Q7OjE1LCZxdW90O2tleUNvbHVtbk5hbWVzJnF1b3Q7OltdLCZxdW90O3F1ZXJ5UmVsYXRpb25zaGlwcyZxdW90OzpbeyZxdW90O2tleUNvbHVtbkNvdW50JnF1b3Q7OjEsJnF1b3Q7a2V5Q29sdW1uJnF1b3Q7OjMsJnF1b3Q7b3RoZXJLZXlDb2x1bW5JZGVudGl0eSZxdW90OzomcXVvdDtTZWN0aW9uMS9NaXRnbGllZGVybGlzdGUvUXVlbGxlLntFLU1haWwsN30mcXVvdDssJnF1b3Q7S2V5Q29sdW1uQ291bnQmcXVvdDs6MX0seyZxdW90O2tleUNvbHVtbkNvdW50JnF1b3Q7OjEsJnF1b3Q7a2V5Q29sdW1uJnF1b3Q7OjEzLCZxdW90O290aGVyS2V5Q29sdW1uSWRlbnRpdHkmcXVvdDs6JnF1b3Q7U2VjdGlvbjEvdGJsX0VybnRldmVydHLDpGdlL1F1ZWxsZS57QWJzZW5kZXplaXRwdW5rdCwxNH0mcXVvdDssJnF1b3Q7S2V5Q29sdW1uQ291bnQmcXVvdDs6MX0seyZxdW90O2tleUNvbHVtbkNvdW50JnF1b3Q7OjEsJnF1b3Q7a2V5Q29sdW1uJnF1b3Q7OjMsJnF1b3Q7b3RoZXJLZXlDb2x1bW5JZGVudGl0eSZxdW90OzomcXVvdDtTZWN0aW9uMS90YmxfV2FydGVsaXN0ZV9Fcm50ZXZlcnRyw6RnZS9HZcOkbmRlcnRlciBUeXAue0UtTWFpbC4xLDR9JnF1b3Q7LCZxdW90O0tleUNvbHVtbkNvdW50JnF1b3Q7OjF9XSwmcXVvdDtjb2x1bW5JZGVudGl0aWVzJnF1b3Q7OlsmcXVvdDtTZWN0aW9uMS9NaXRnbGllZGVybGlzdGUvUXVlbGxlLntNaXRnbGllZHMtTnIuLDB9JnF1b3Q7LCZxdW90O1NlY3Rpb24xL1JvaGRhdGVuIGltcG9ydGllcmVuIHVuZCBiZXJlaW5pZ2VuL0Vyd2VpdGVydGUgVGFiZWxsZW5zcGFsdGUxLntOYW1lIC0gTmFjaG5hbWUsNH0mcXVvdDssJnF1b3Q7U2VjdGlvbjEvUm9oZGF0ZW4gaW1wb3J0aWVyZW4gdW5kIGJlcmVpbmlnZW4vRXJ3ZWl0ZXJ0ZSBUYWJlbGxlbnNwYWx0ZTEue05hbWUgLSBWb3JuYW1lLDN9JnF1b3Q7LCZxdW90O1NlY3Rpb24xL1JvaGRhdGVuIGltcG9ydGllcmVuIHVuZCBiZXJlaW5pZ2VuL1RleHQgaW4gS2xlaW5idWNoc3RhYmVuLntFLU1haWwsMTB9JnF1b3Q7LCZxdW90O1NlY3Rpb24xL1JvaGRhdGVuIGltcG9ydGllcmVuIHVuZCBiZXJlaW5pZ2VuL0Vyc2V0enRlciBXZXJ0LntBbnphaGwgRXJudGVhbnRlaWxlXzUsMjN9JnF1b3Q7LCZxdW90O1NlY3Rpb24xL1JvaGRhdGVuIGltcG9ydGllcmVuIHVuZCBiZXJlaW5pZ2VuL0Vyc2V0enRlciBXZXJ0LntBbnphaGwga2xlaW5lIEVybnRlYW50ZWlsZSwyNH0mcXVvdDssJnF1b3Q7U2VjdGlvbjEvUm9oZGF0ZW4gaW1wb3J0aWVyZW4gdW5kIGJlcmVpbmlnZW4vRXJzZXR6dGVyIFdlcnQue051bWJlciwxNH0mcXVvdDssJnF1b3Q7U2VjdGlvbjEvUm9oZGF0ZW4gaW1wb3J0aWVyZW4gdW5kIGJlcmVpbmlnZW4vRXJzZXR6dGVyIFdlcnQue051bWJlcl8yLDE1fSZxdW90OywmcXVvdDtTZWN0aW9uMS9Sb2hkYXRlbiBpbXBvcnRpZXJlbiB1bmQgYmVyZWluaWdlbi9FcndlaXRlcnRlIFRhYmVsbGVuc3BhbHRlMS57UmFkaW9fMywyM30mcXVvdDssJnF1b3Q7U2VjdGlvbjEvTWl0Z2xpZWRlcmxpc3RlL1F1ZWxsZS57T3J0LDZ9JnF1b3Q7LCZxdW90O1NlY3Rpb24xL01pdGdsaWVkZXJsaXN0ZS9RdWVsbGUue0lCQU4sMTd9JnF1b3Q7LCZxdW90O1NlY3Rpb24xL01pdGdsaWVkZXJsaXN0ZS9RdWVsbGUue05hbWUgS29udG9pbmhhYmVyaW4sMTh9JnF1b3Q7LCZxdW90O1NlY3Rpb24xL01pdGdsaWVkZXJsaXN0ZS9RdWVsbGUue0RhdHVtIE1hbmRhdHN1bnRlcnNjaHJpZnQsMTl9JnF1b3Q7LCZxdW90O1NlY3Rpb24xL1JvaGRhdGVuIGltcG9ydGllcmVuIHVuZCBiZXJlaW5pZ2VuL0Vyd2VpdGVydGUgVGFiZWxsZW5zcGFsdGUxLntaZWl0IGRlciBFaW50cmFndW5nLDF9JnF1b3Q7LCZxdW90O1NlY3Rpb24xL1JvaGRhdGVuIGltcG9ydGllcmVuIHVuZCBiZXJlaW5pZ2VuL0Vyd2VpdGVydGUgVGFiZWxsZW5zcGFsdGUxLntBbiB3ZWxjaGVtIFZlcnRlaWxwdW5rdCBtw7ZjaHRlc3QgZHUgZGVpbiBHZW3DvHNlIGFiaG9sZW4/LDI1fSZxdW90O10sJnF1b3Q7Q29sdW1uQ291bnQmcXVvdDs6MTUsJnF1b3Q7S2V5Q29sdW1uTmFtZXMmcXVvdDs6W10sJnF1b3Q7Q29sdW1uSWRlbnRpdGllcyZxdW90OzpbJnF1b3Q7U2VjdGlvbjEvTWl0Z2xpZWRlcmxpc3RlL1F1ZWxsZS57TWl0Z2xpZWRzLU5yLiwwfSZxdW90OywmcXVvdDtTZWN0aW9uMS9Sb2hkYXRlbiBpbXBvcnRpZXJlbiB1bmQgYmVyZWluaWdlbi9FcndlaXRlcnRlIFRhYmVsbGVuc3BhbHRlMS57TmFtZSAtIE5hY2huYW1lLDR9JnF1b3Q7LCZxdW90O1NlY3Rpb24xL1JvaGRhdGVuIGltcG9ydGllcmVuIHVuZCBiZXJlaW5pZ2VuL0Vyd2VpdGVydGUgVGFiZWxsZW5zcGFsdGUxLntOYW1lIC0gVm9ybmFtZSwzfSZxdW90OywmcXVvdDtTZWN0aW9uMS9Sb2hkYXRlbiBpbXBvcnRpZXJlbiB1bmQgYmVyZWluaWdlbi9UZXh0IGluIEtsZWluYnVjaHN0YWJlbi57RS1NYWlsLDEwfSZxdW90OywmcXVvdDtTZWN0aW9uMS9Sb2hkYXRlbiBpbXBvcnRpZXJlbiB1bmQgYmVyZWluaWdlbi9FcnNldHp0ZXIgV2VydC57QW56YWhsIEVybnRlYW50ZWlsZV81LDIzfSZxdW90OywmcXVvdDtTZWN0aW9uMS9Sb2hkYXRlbiBpbXBvcnRpZXJlbiB1bmQgYmVyZWluaWdlbi9FcnNldHp0ZXIgV2VydC57QW56YWhsIGtsZWluZSBFcm50ZWFudGVpbGUsMjR9JnF1b3Q7LCZxdW90O1NlY3Rpb24xL1JvaGRhdGVuIGltcG9ydGllcmVuIHVuZCBiZXJlaW5pZ2VuL0Vyc2V0enRlciBXZXJ0LntOdW1iZXIsMTR9JnF1b3Q7LCZxdW90O1NlY3Rpb24xL1JvaGRhdGVuIGltcG9ydGllcmVuIHVuZCBiZXJlaW5pZ2VuL0Vyc2V0enRlciBXZXJ0LntOdW1iZXJfMiwxNX0mcXVvdDssJnF1b3Q7U2VjdGlvbjEvUm9oZGF0ZW4gaW1wb3J0aWVyZW4gdW5kIGJlcmVpbmlnZW4vRXJ3ZWl0ZXJ0ZSBUYWJlbGxlbnNwYWx0ZTEue1JhZGlvXzMsMjN9JnF1b3Q7LCZxdW90O1NlY3Rpb24xL01pdGdsaWVkZXJsaXN0ZS9RdWVsbGUue09ydCw2fSZxdW90OywmcXVvdDtTZWN0aW9uMS9NaXRnbGllZGVybGlzdGUvUXVlbGxlLntJQkFOLDE3fSZxdW90OywmcXVvdDtTZWN0aW9uMS9NaXRnbGllZGVybGlzdGUvUXVlbGxlLntOYW1lIEtvbnRvaW5oYWJlcmluLDE4fSZxdW90OywmcXVvdDtTZWN0aW9uMS9NaXRnbGllZGVybGlzdGUvUXVlbGxlLntEYXR1bSBNYW5kYXRzdW50ZXJzY2hyaWZ0LDE5fSZxdW90OywmcXVvdDtTZWN0aW9uMS9Sb2hkYXRlbiBpbXBvcnRpZXJlbiB1bmQgYmVyZWluaWdlbi9FcndlaXRlcnRlIFRhYmVsbGVuc3BhbHRlMS57WmVpdCBkZXIgRWludHJhZ3VuZywxfSZxdW90OywmcXVvdDtTZWN0aW9uMS9Sb2hkYXRlbiBpbXBvcnRpZXJlbiB1bmQgYmVyZWluaWdlbi9FcndlaXRlcnRlIFRhYmVsbGVuc3BhbHRlMS57QW4gd2VsY2hlbSBWZXJ0ZWlscHVua3QgbcO2Y2h0ZXN0IGR1IGRlaW4gR2Vtw7xzZSBhYmhvbGVuPywyNX0mcXVvdDtdLCZxdW90O1JlbGF0aW9uc2hpcEluZm8mcXVvdDs6W3smcXVvdDtrZXlDb2x1bW5Db3VudCZxdW90OzoxLCZxdW90O2tleUNvbHVtbiZxdW90OzozLCZxdW90O290aGVyS2V5Q29sdW1uSWRlbnRpdHkmcXVvdDs6JnF1b3Q7U2VjdGlvbjEvTWl0Z2xpZWRlcmxpc3RlL1F1ZWxsZS57RS1NYWlsLDd9JnF1b3Q7LCZxdW90O0tleUNvbHVtbkNvdW50JnF1b3Q7OjF9LHsmcXVvdDtrZXlDb2x1bW5Db3VudCZxdW90OzoxLCZxdW90O2tleUNvbHVtbiZxdW90OzoxMywmcXVvdDtvdGhlcktleUNvbHVtbklkZW50aXR5JnF1b3Q7OiZxdW90O1NlY3Rpb24xL3RibF9Fcm50ZXZlcnRyw6RnZS9RdWVsbGUue0Fic2VuZGV6ZWl0cHVua3QsMTR9JnF1b3Q7LCZxdW90O0tleUNvbHVtbkNvdW50JnF1b3Q7OjF9LHsmcXVvdDtrZXlDb2x1bW5Db3VudCZxdW90OzoxLCZxdW90O2tleUNvbHVtbiZxdW90OzozLCZxdW90O290aGVyS2V5Q29sdW1uSWRlbnRpdHkmcXVvdDs6JnF1b3Q7U2VjdGlvbjEvdGJsX1dhcnRlbGlzdGVfRXJudGV2ZXJ0csOkZ2UvR2XDpG5kZXJ0ZXIgVHlwLntFLU1haWwuMSw0fSZxdW90OywmcXVvdDtLZXlDb2x1bW5Db3VudCZxdW90OzoxfV19IiAvPjwvU3RhYmxlRW50cmllcz48L0l0ZW0+PEl0ZW0+PEl0ZW1Mb2NhdGlvbj48SXRlbVR5cGU+Rm9ybXVsYTwvSXRlbVR5cGU+PEl0ZW1QYXRoPlNlY3Rpb24xL0ltcG9ydCUyMEVybnRldmVydHIlQzMlQTRnZSUyME5FVS9RdWVsbGU8L0l0ZW1QYXRoPjwvSXRlbUxvY2F0aW9uPjxTdGFibGVFbnRyaWVzIC8+PC9JdGVtPjxJdGVtPjxJdGVtTG9jYXRpb24+PEl0ZW1UeXBlPkZvcm11bGE8L0l0ZW1UeXBlPjxJdGVtUGF0aD5TZWN0aW9uMS9JbXBvcnQlMjBFcm50ZXZlcnRyJUMzJUE0Z2UlMjBORVUvRXJ3ZWl0ZXJ0ZSUyME1pdGdsaWVkZXJsaXN0ZTwvSXRlbVBhdGg+PC9JdGVtTG9jYXRpb24+PFN0YWJsZUVudHJpZXMgLz48L0l0ZW0+PEl0ZW0+PEl0ZW1Mb2NhdGlvbj48SXRlbVR5cGU+Rm9ybXVsYTwvSXRlbVR5cGU+PEl0ZW1QYXRoPlNlY3Rpb24xL0ltcG9ydCUyMEVybnRldmVydHIlQzMlQTRnZSUyME5FVS9adXNhbW1lbmdlZiVDMyVCQ2hydGUlMjBBYmZyYWdlbjwvSXRlbVBhdGg+PC9JdGVtTG9jYXRpb24+PFN0YWJsZUVudHJpZXMgLz48L0l0ZW0+PEl0ZW0+PEl0ZW1Mb2NhdGlvbj48SXRlbVR5cGU+Rm9ybXVsYTwvSXRlbVR5cGU+PEl0ZW1QYXRoPlNlY3Rpb24xL0ltcG9ydCUyMEVybnRldmVydHIlQzMlQTRnZSUyME5FVS9adXNhbW1lbmdlZiVDMyVCQ2hydGUlMjBBYmZyYWdlbjE8L0l0ZW1QYXRoPjwvSXRlbUxvY2F0aW9uPjxTdGFibGVFbnRyaWVzIC8+PC9JdGVtPjxJdGVtPjxJdGVtTG9jYXRpb24+PEl0ZW1UeXBlPkZvcm11bGE8L0l0ZW1UeXBlPjxJdGVtUGF0aD5TZWN0aW9uMS9JbXBvcnQlMjBFcm50ZXZlcnRyJUMzJUE0Z2UlMjBORVUvR2VmaWx0ZXJ0ZSUyMFplaWxlbjwvSXRlbVBhdGg+PC9JdGVtTG9jYXRpb24+PFN0YWJsZUVudHJpZXMgLz48L0l0ZW0+PEl0ZW0+PEl0ZW1Mb2NhdGlvbj48SXRlbVR5cGU+Rm9ybXVsYTwvSXRlbVR5cGU+PEl0ZW1QYXRoPlNlY3Rpb24xL0ltcG9ydCUyMEVybnRldmVydHIlQzMlQTRnZSUyME5FVS9FbnRmZXJudGUlMjBTcGFsdGVuPC9JdGVtUGF0aD48L0l0ZW1Mb2NhdGlvbj48U3RhYmxlRW50cmllcyAvPjwvSXRlbT48SXRlbT48SXRlbUxvY2F0aW9uPjxJdGVtVHlwZT5Gb3JtdWxhPC9JdGVtVHlwZT48SXRlbVBhdGg+U2VjdGlvbjEvSW1wb3J0JTIwRXJudGV2ZXJ0ciVDMyVBNGdlJTIwTkVVL05ldSUyMGFuZ2VvcmRuZXRlJTIwU3BhbHRlbjwvSXRlbVBhdGg+PC9JdGVtTG9jYXRpb24+PFN0YWJsZUVudHJpZXMgLz48L0l0ZW0+PEl0ZW0+PEl0ZW1Mb2NhdGlvbj48SXRlbVR5cGU+Rm9ybXVsYTwvSXRlbVR5cGU+PEl0ZW1QYXRoPlNlY3Rpb24xL0ltcG9ydCUyMEVybnRldmVydHIlQzMlQTRnZSUyME5FVS9VbWJlbmFubnRlJTIwU3BhbHRlbjwvSXRlbVBhdGg+PC9JdGVtTG9jYXRpb24+PFN0YWJsZUVudHJpZXMgLz48L0l0ZW0+PEl0ZW0+PEl0ZW1Mb2NhdGlvbj48SXRlbVR5cGU+Rm9ybXVsYTwvSXRlbVR5cGU+PEl0ZW1QYXRoPlNlY3Rpb24xL1JvaGRhdGVuJTIwaW1wb3J0aWVyZW4lMjB1bmQlMjBiZXJlaW5pZ2VuL0dlJUMzJUE0bmRlcnRlciUyMFR5cDwvSXRlbVBhdGg+PC9JdGVtTG9jYXRpb24+PFN0YWJsZUVudHJpZXMgLz48L0l0ZW0+PEl0ZW0+PEl0ZW1Mb2NhdGlvbj48SXRlbVR5cGU+Rm9ybXVsYTwvSXRlbVR5cGU+PEl0ZW1QYXRoPlNlY3Rpb24xL1JvaGRhdGVuJTIwaW1wb3J0aWVyZW4lMjB1bmQlMjBiZXJlaW5pZ2VuL0Vyd2VpdGVydGUlMjBUYWJlbGxlbnNwYWx0ZTE8L0l0ZW1QYXRoPjwvSXRlbUxvY2F0aW9uPjxTdGFibGVFbnRyaWVzIC8+PC9JdGVtPjxJdGVtPjxJdGVtTG9jYXRpb24+PEl0ZW1UeXBlPkZvcm11bGE8L0l0ZW1UeXBlPjxJdGVtUGF0aD5TZWN0aW9uMS9Sb2hkYXRlbiUyMGltcG9ydGllcmVuJTIwdW5kJTIwYmVyZWluaWdlbi9FbnRmZXJudGUlMjBTcGFsdGVuPC9JdGVtUGF0aD48L0l0ZW1Mb2NhdGlvbj48U3RhYmxlRW50cmllcyAvPjwvSXRlbT48SXRlbT48SXRlbUxvY2F0aW9uPjxJdGVtVHlwZT5Gb3JtdWxhPC9JdGVtVHlwZT48SXRlbVBhdGg+U2VjdGlvbjEvUm9oZGF0ZW4lMjBpbXBvcnRpZXJlbiUyMHVuZCUyMGJlcmVpbmlnZW4vRW50ZmVybnRlJTIwRHVwbGlrYXRlPC9JdGVtUGF0aD48L0l0ZW1Mb2NhdGlvbj48U3RhYmxlRW50cmllcyAvPjwvSXRlbT48SXRlbT48SXRlbUxvY2F0aW9uPjxJdGVtVHlwZT5Gb3JtdWxhPC9JdGVtVHlwZT48SXRlbVBhdGg+U2VjdGlvbjEvUm9oZGF0ZW4lMjBpbXBvcnRpZXJlbiUyMHVuZCUyMGJlcmVpbmlnZW4vRXJzZXR6dGVyJTIwV2VydDE8L0l0ZW1QYXRoPjwvSXRlbUxvY2F0aW9uPjxTdGFibGVFbnRyaWVzIC8+PC9JdGVtPjxJdGVtPjxJdGVtTG9jYXRpb24+PEl0ZW1UeXBlPkZvcm11bGE8L0l0ZW1UeXBlPjxJdGVtUGF0aD5TZWN0aW9uMS9Sb2hkYXRlbiUyMGltcG9ydGllcmVuJTIwdW5kJTIwYmVyZWluaWdlbi9EZXIlMjBUZXh0JTIwdm9yJTIwZGVtJTIwVHJlbm56ZWljaGVuJTIwd3VyZGUlMjBleHRyYWhpZXJ0LjwvSXRlbVBhdGg+PC9JdGVtTG9jYXRpb24+PFN0YWJsZUVudHJpZXMgLz48L0l0ZW0+PEl0ZW0+PEl0ZW1Mb2NhdGlvbj48SXRlbVR5cGU+Rm9ybXVsYTwvSXRlbVR5cGU+PEl0ZW1QYXRoPlNlY3Rpb24xL1JvaGRhdGVuJTIwaW1wb3J0aWVyZW4lMjB1bmQlMjBiZXJlaW5pZ2VuL0RlciUyMFRleHQlMjB2b3IlMjBkZW0lMjBUcmVubnplaWNoZW4lMjB3dXJkZSUyMGV4dHJhaGllcnQuMTwvSXRlbVBhdGg+PC9JdGVtTG9jYXRpb24+PFN0YWJsZUVudHJpZXMgLz48L0l0ZW0+PEl0ZW0+PEl0ZW1Mb2NhdGlvbj48SXRlbVR5cGU+Rm9ybXVsYTwvSXRlbVR5cGU+PEl0ZW1QYXRoPlNlY3Rpb24xL1JvaGRhdGVuJTIwaW1wb3J0aWVyZW4lMjB1bmQlMjBiZXJlaW5pZ2VuL0Vyc2V0enRlciUyMFdlcnQyPC9JdGVtUGF0aD48L0l0ZW1Mb2NhdGlvbj48U3RhYmxlRW50cmllcyAvPjwvSXRlbT48SXRlbT48SXRlbUxvY2F0aW9uPjxJdGVtVHlwZT5Gb3JtdWxhPC9JdGVtVHlwZT48SXRlbVBhdGg+U2VjdGlvbjEvUm9oZGF0ZW4lMjBpbXBvcnRpZXJlbiUyMHVuZCUyMGJlcmVpbmlnZW4vVGV4dCUyMGluJTIwR3JvJUMzJTlGYnVjaHN0YWJlbjwvSXRlbVBhdGg+PC9JdGVtTG9jYXRpb24+PFN0YWJsZUVudHJpZXMgLz48L0l0ZW0+PEl0ZW0+PEl0ZW1Mb2NhdGlvbj48SXRlbVR5cGU+Rm9ybXVsYTwvSXRlbVR5cGU+PEl0ZW1QYXRoPlNlY3Rpb24xL1JvaGRhdGVuJTIwaW1wb3J0aWVyZW4lMjB1bmQlMjBiZXJlaW5pZ2VuL0dlJUMzJUE0bmRlcnRlciUyMFR5cDE8L0l0ZW1QYXRoPjwvSXRlbUxvY2F0aW9uPjxTdGFibGVFbnRyaWVzIC8+PC9JdGVtPjxJdGVtPjxJdGVtTG9jYXRpb24+PEl0ZW1UeXBlPkZvcm11bGE8L0l0ZW1UeXBlPjxJdGVtUGF0aD5TZWN0aW9uMS9Sb2hkYXRlbiUyMGltcG9ydGllcmVuJTIwdW5kJTIwYmVyZWluaWdlbi9UZXh0JTIwaW4lMjBLbGVpbmJ1Y2hzdGFiZW48L0l0ZW1QYXRoPjwvSXRlbUxvY2F0aW9uPjxTdGFibGVFbnRyaWVzIC8+PC9JdGVtPjxJdGVtPjxJdGVtTG9jYXRpb24+PEl0ZW1UeXBlPkZvcm11bGE8L0l0ZW1UeXBlPjxJdGVtUGF0aD5TZWN0aW9uMS9Sb2hkYXRlbiUyMGltcG9ydGllcmVuJTIwdW5kJTIwYmVyZWluaWdlbi9FcnNldHp0ZXIlMjBXZXJ0PC9JdGVtUGF0aD48L0l0ZW1Mb2NhdGlvbj48U3RhYmxlRW50cmllcyAvPjwvSXRlbT48SXRlbT48SXRlbUxvY2F0aW9uPjxJdGVtVHlwZT5Gb3JtdWxhPC9JdGVtVHlwZT48SXRlbVBhdGg+U2VjdGlvbjEvUm9oZGF0ZW4lMjBpbXBvcnRpZXJlbiUyMHVuZCUyMGJlcmVpbmlnZW4vUGF0aFRvUm9oZGF0ZW48L0l0ZW1QYXRoPjwvSXRlbUxvY2F0aW9uPjxTdGFibGVFbnRyaWVzIC8+PC9JdGVtPjxJdGVtPjxJdGVtTG9jYXRpb24+PEl0ZW1UeXBlPkZvcm11bGE8L0l0ZW1UeXBlPjxJdGVtUGF0aD5TZWN0aW9uMS9Sb2hkYXRlbiUyMGltcG9ydGllcmVuJTIwdW5kJTIwYmVyZWluaWdlbi9QYXRoVG9NYWluRm9sZGVyPC9JdGVtUGF0aD48L0l0ZW1Mb2NhdGlvbj48U3RhYmxlRW50cmllcyAvPjwvSXRlbT48SXRlbT48SXRlbUxvY2F0aW9uPjxJdGVtVHlwZT5Gb3JtdWxhPC9JdGVtVHlwZT48SXRlbVBhdGg+U2VjdGlvbjEvQmVpc3BpZWxkYXRlaSUyMCgzKS9RdWVsbGU8L0l0ZW1QYXRoPjwvSXRlbUxvY2F0aW9uPjxTdGFibGVFbnRyaWVzIC8+PC9JdGVtPjxJdGVtPjxJdGVtTG9jYXRpb24+PEl0ZW1UeXBlPkZvcm11bGE8L0l0ZW1UeXBlPjxJdGVtUGF0aD5TZWN0aW9uMS9CZWlzcGllbGRhdGVpJTIwKDMpL0UlM0ElNUNVc2VycyU1Q0hlaW5lciU1Q0Ryb3Bib3glNUNTb2xhd2klMjBQZXJvdXNlJTVDMDVfVmVyd2FsdHVuZyUyNklUJTVDMDJfTWl0Z2xpZWRlcmxpc3RlJTVDUm9oZGF0ZW4tRm9ybXVsYXIlNUNfZm9ybWluYXRvci1iZWl0cml0dC1lcm50ZXZlcnRyYWctMjAyMy0yMzAzMjAwOTIwMDUuY3N2PC9JdGVtUGF0aD48L0l0ZW1Mb2NhdGlvbj48U3RhYmxlRW50cmllcyAvPjwvSXRlbT48SXRlbT48SXRlbUxvY2F0aW9uPjxJdGVtVHlwZT5Gb3JtdWxhPC9JdGVtVHlwZT48SXRlbVBhdGg+U2VjdGlvbjEvQmVpc3BpZWxkYXRlaSUyMCgzKS9QYXRoVG9Sb2hkYXRlbjwvSXRlbVBhdGg+PC9JdGVtTG9jYXRpb24+PFN0YWJsZUVudHJpZXMgLz48L0l0ZW0+PEl0ZW0+PEl0ZW1Mb2NhdGlvbj48SXRlbVR5cGU+Rm9ybXVsYTwvSXRlbVR5cGU+PEl0ZW1QYXRoPlNlY3Rpb24xL0JlaXNwaWVsZGF0ZWklMjAoMykvUGF0aFRvTWFpbkZvbGRlcjwvSXRlbVBhdGg+PC9JdGVtTG9jYXRpb24+PFN0YWJsZUVudHJpZXMgLz48L0l0ZW0+PC9JdGVtcz48L0xvY2FsUGFja2FnZU1ldGFkYXRhRmlsZT4WAAAAUEsFBgAAAAAAAAAAAAAAAAAAAAAAACYBAAABAAAA0Iyd3wEV0RGMegDAT8KX6wEAAABTl9jMhcbQTZKKZ24ZxLyrAAAAAAIAAAAAABBmAAAAAQAAIAAAAIlb6/tN2T3M/yoRTXRatahvVX6JluqvGhl7JI7vnkL0AAAAAA6AAAAAAgAAIAAAAJHvV4Dq4aM32/Uhg1qMHWCY5FffMkGPZzkUuSYVroQhUAAAAAGNlcEpMsUt39NO6yvGJBWne21yvEQzri3s/ZgidS+yi65OMHW5agfZbk9B1o4VIS9n85mH6NWH42fJ1TwM5qLw7Jl0wvi9fZsUeSKFy5CPQAAAAC6r5k+Hxc2/CiVVgXD1tDVep54olUmWSN/6L0cwj4x28l4U/iKP5F8ex+0U66qdKHVb5lPEoBYus8DRKfeEKV0=</DataMashup>
</file>

<file path=customXml/itemProps1.xml><?xml version="1.0" encoding="utf-8"?>
<ds:datastoreItem xmlns:ds="http://schemas.openxmlformats.org/officeDocument/2006/customXml" ds:itemID="{C43D8D93-E571-41D0-83D7-923100438C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2021-02-11T21:37:27Z</dcterms:created>
  <dc:creator>Heiner</dc:creator>
  <dc:description/>
  <dc:language>de-DE</dc:language>
  <cp:lastModifiedBy/>
  <cp:lastPrinted>2024-10-02T16:15:54Z</cp:lastPrinted>
  <dcterms:modified xsi:type="dcterms:W3CDTF">2025-12-14T10:10:59Z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